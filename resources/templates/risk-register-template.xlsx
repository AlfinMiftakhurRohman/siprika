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rawings/drawing5.xml" ContentType="application/vnd.openxmlformats-officedocument.drawing+xml"/>
  <Override PartName="/xl/comments4.xml" ContentType="application/vnd.openxmlformats-officedocument.spreadsheetml.comments+xml"/>
  <Override PartName="/xl/threadedComments/threadedComment4.xml" ContentType="application/vnd.ms-excel.threadedcomments+xml"/>
  <Override PartName="/xl/drawings/drawing6.xml" ContentType="application/vnd.openxmlformats-officedocument.drawing+xml"/>
  <Override PartName="/xl/comments5.xml" ContentType="application/vnd.openxmlformats-officedocument.spreadsheetml.comments+xml"/>
  <Override PartName="/xl/threadedComments/threadedComment5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2025\MANRIS\Kertas Kerja\FINAL\"/>
    </mc:Choice>
  </mc:AlternateContent>
  <xr:revisionPtr revIDLastSave="0" documentId="13_ncr:1_{EA546E8E-6CAE-4404-BF76-2C2C72438438}" xr6:coauthVersionLast="47" xr6:coauthVersionMax="47" xr10:uidLastSave="{00000000-0000-0000-0000-000000000000}"/>
  <bookViews>
    <workbookView xWindow="-110" yWindow="-110" windowWidth="19420" windowHeight="10300" firstSheet="1" activeTab="1" xr2:uid="{00000000-000D-0000-FFFF-FFFF00000000}"/>
  </bookViews>
  <sheets>
    <sheet name="Ringkasan" sheetId="1" r:id="rId1"/>
    <sheet name="Data dan Informasi" sheetId="2" r:id="rId2"/>
    <sheet name="Perangkat Lunak" sheetId="10" r:id="rId3"/>
    <sheet name="Perangkat Keras" sheetId="11" r:id="rId4"/>
    <sheet name="Sarana Pendukung" sheetId="12" r:id="rId5"/>
    <sheet name="SDM &amp; Pihak Ketiga" sheetId="13" r:id="rId6"/>
    <sheet name="Peta Risiko" sheetId="8" r:id="rId7"/>
    <sheet name="List Kategori Risiko Keamanan" sheetId="9" r:id="rId8"/>
    <sheet name="List Ancaman dan Kerentanan" sheetId="14" r:id="rId9"/>
  </sheets>
  <externalReferences>
    <externalReference r:id="rId10"/>
    <externalReference r:id="rId11"/>
    <externalReference r:id="rId12"/>
  </externalReferences>
  <definedNames>
    <definedName name="_xlnm._FilterDatabase" localSheetId="1" hidden="1">'Data dan Informasi'!$A$3:$AD$7</definedName>
    <definedName name="_xlnm._FilterDatabase" localSheetId="3" hidden="1">'Perangkat Keras'!$A$3:$AD$7</definedName>
    <definedName name="_xlnm._FilterDatabase" localSheetId="2" hidden="1">'Perangkat Lunak'!$A$3:$AD$7</definedName>
    <definedName name="_xlnm._FilterDatabase" localSheetId="4" hidden="1">'Sarana Pendukung'!$A$3:$AD$7</definedName>
    <definedName name="_xlnm._FilterDatabase" localSheetId="5" hidden="1">'SDM &amp; Pihak Ketiga'!$A$3:$AD$7</definedName>
    <definedName name="ImpactRange">'Peta Risiko'!$D$36:$D$40</definedName>
    <definedName name="likelihood" localSheetId="1">[1]data!$C$82:$C$87</definedName>
    <definedName name="likelihood" localSheetId="3">[1]data!$C$82:$C$87</definedName>
    <definedName name="likelihood" localSheetId="2">[1]data!$C$82:$C$87</definedName>
    <definedName name="likelihood" localSheetId="4">[1]data!$C$82:$C$87</definedName>
    <definedName name="likelihood" localSheetId="5">[1]data!$C$82:$C$87</definedName>
    <definedName name="LikelihoodRange">'Peta Risiko'!$D$29:$D$33</definedName>
    <definedName name="Opsi" localSheetId="1">[1]data!$E$23:$E$27</definedName>
    <definedName name="Opsi" localSheetId="3">[1]data!$E$23:$E$27</definedName>
    <definedName name="Opsi" localSheetId="2">[1]data!$E$23:$E$27</definedName>
    <definedName name="Opsi" localSheetId="4">[1]data!$E$23:$E$27</definedName>
    <definedName name="Opsi" localSheetId="5">[1]data!$E$23:$E$27</definedName>
    <definedName name="_xlnm.Print_Area" localSheetId="1">'Data dan Informasi'!$A$1:$AA$11</definedName>
    <definedName name="_xlnm.Print_Area" localSheetId="3">'Perangkat Keras'!$A$1:$AA$11</definedName>
    <definedName name="_xlnm.Print_Area" localSheetId="2">'Perangkat Lunak'!$A$1:$AA$11</definedName>
    <definedName name="_xlnm.Print_Area" localSheetId="4">'Sarana Pendukung'!$A$1:$AA$11</definedName>
    <definedName name="_xlnm.Print_Area" localSheetId="5">'SDM &amp; Pihak Ketiga'!$A$1:$AA$11</definedName>
    <definedName name="_xlnm.Print_Titles" localSheetId="1">'Data dan Informasi'!$4:$6</definedName>
    <definedName name="_xlnm.Print_Titles" localSheetId="3">'Perangkat Keras'!$4:$6</definedName>
    <definedName name="_xlnm.Print_Titles" localSheetId="2">'Perangkat Lunak'!$4:$6</definedName>
    <definedName name="_xlnm.Print_Titles" localSheetId="4">'Sarana Pendukung'!$4:$6</definedName>
    <definedName name="_xlnm.Print_Titles" localSheetId="5">'SDM &amp; Pihak Ketiga'!$4:$6</definedName>
    <definedName name="RangeDampak">'Peta Risiko'!$F$5:$J$5</definedName>
    <definedName name="RangeKemungkinan">'Peta Risiko'!$E$6:$E$10</definedName>
    <definedName name="RangeLikelihood">'Peta Risiko'!$D$29:$I$33</definedName>
    <definedName name="RiskLevel">'Peta Risiko'!$F$15:$J$19</definedName>
    <definedName name="RiskMatrix">'Peta Risiko'!$F$6:$J$10</definedName>
    <definedName name="saa">[2]vulnerabilities!$A$2:$A$200</definedName>
    <definedName name="severity" localSheetId="1">[1]data!$F$83:$F$87</definedName>
    <definedName name="severity" localSheetId="3">[1]data!$F$83:$F$87</definedName>
    <definedName name="severity" localSheetId="2">[1]data!$F$83:$F$87</definedName>
    <definedName name="severity" localSheetId="4">[1]data!$F$83:$F$87</definedName>
    <definedName name="severity" localSheetId="5">[1]data!$F$83:$F$87</definedName>
    <definedName name="threat1" localSheetId="1">[1]threat!$A$2:$A$132</definedName>
    <definedName name="threat1" localSheetId="3">[1]threat!$A$2:$A$132</definedName>
    <definedName name="threat1" localSheetId="2">[1]threat!$A$2:$A$132</definedName>
    <definedName name="threat1" localSheetId="4">[1]threat!$A$2:$A$132</definedName>
    <definedName name="threat1" localSheetId="5">[1]threat!$A$2:$A$132</definedName>
    <definedName name="threat1">[3]threat!$A$2:$A$132</definedName>
    <definedName name="Vulnerability" localSheetId="1">[1]vulnerabilities!$A$2:$A$200</definedName>
    <definedName name="Vulnerability" localSheetId="3">[1]vulnerabilities!$A$2:$A$200</definedName>
    <definedName name="Vulnerability" localSheetId="2">[1]vulnerabilities!$A$2:$A$200</definedName>
    <definedName name="Vulnerability" localSheetId="4">[1]vulnerabilities!$A$2:$A$200</definedName>
    <definedName name="Vulnerability" localSheetId="5">[1]vulnerabilities!$A$2:$A$200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11" i="13" l="1"/>
  <c r="AH11" i="13" s="1"/>
  <c r="X11" i="13"/>
  <c r="Y11" i="13" s="1"/>
  <c r="M11" i="13"/>
  <c r="L11" i="13"/>
  <c r="Y10" i="13"/>
  <c r="AB10" i="13" s="1"/>
  <c r="X10" i="13"/>
  <c r="M10" i="13"/>
  <c r="L10" i="13"/>
  <c r="AF10" i="13" s="1"/>
  <c r="X9" i="13"/>
  <c r="Y9" i="13" s="1"/>
  <c r="M9" i="13"/>
  <c r="L9" i="13"/>
  <c r="AF9" i="13" s="1"/>
  <c r="AF8" i="13"/>
  <c r="AH8" i="13" s="1"/>
  <c r="X8" i="13"/>
  <c r="Y8" i="13" s="1"/>
  <c r="M8" i="13"/>
  <c r="L8" i="13"/>
  <c r="AF7" i="13"/>
  <c r="AH7" i="13" s="1"/>
  <c r="X7" i="13"/>
  <c r="Y7" i="13" s="1"/>
  <c r="M7" i="13"/>
  <c r="L7" i="13"/>
  <c r="AF11" i="12"/>
  <c r="AH11" i="12" s="1"/>
  <c r="X11" i="12"/>
  <c r="Y11" i="12" s="1"/>
  <c r="M11" i="12"/>
  <c r="L11" i="12"/>
  <c r="X10" i="12"/>
  <c r="Y10" i="12" s="1"/>
  <c r="AC10" i="12" s="1"/>
  <c r="M10" i="12"/>
  <c r="L10" i="12"/>
  <c r="AF10" i="12" s="1"/>
  <c r="X9" i="12"/>
  <c r="Y9" i="12" s="1"/>
  <c r="M9" i="12"/>
  <c r="L9" i="12"/>
  <c r="AF9" i="12" s="1"/>
  <c r="AC8" i="12"/>
  <c r="AB8" i="12"/>
  <c r="Y8" i="12"/>
  <c r="X8" i="12"/>
  <c r="M8" i="12"/>
  <c r="L8" i="12"/>
  <c r="AF8" i="12" s="1"/>
  <c r="X7" i="12"/>
  <c r="Y7" i="12" s="1"/>
  <c r="M7" i="12"/>
  <c r="L7" i="12"/>
  <c r="AF7" i="12" s="1"/>
  <c r="AH7" i="12" s="1"/>
  <c r="X11" i="11"/>
  <c r="Y11" i="11" s="1"/>
  <c r="M11" i="11"/>
  <c r="L11" i="11"/>
  <c r="AF11" i="11" s="1"/>
  <c r="AH11" i="11" s="1"/>
  <c r="X10" i="11"/>
  <c r="Y10" i="11" s="1"/>
  <c r="AC10" i="11" s="1"/>
  <c r="M10" i="11"/>
  <c r="L10" i="11"/>
  <c r="AF10" i="11" s="1"/>
  <c r="X9" i="11"/>
  <c r="Y9" i="11" s="1"/>
  <c r="M9" i="11"/>
  <c r="L9" i="11"/>
  <c r="AF9" i="11" s="1"/>
  <c r="X8" i="11"/>
  <c r="Y8" i="11" s="1"/>
  <c r="M8" i="11"/>
  <c r="L8" i="11"/>
  <c r="AF8" i="11" s="1"/>
  <c r="AH8" i="11" s="1"/>
  <c r="X7" i="11"/>
  <c r="Y7" i="11" s="1"/>
  <c r="M7" i="11"/>
  <c r="L7" i="11"/>
  <c r="AF7" i="11" s="1"/>
  <c r="AH7" i="11" s="1"/>
  <c r="X11" i="10"/>
  <c r="Y11" i="10" s="1"/>
  <c r="M11" i="10"/>
  <c r="L11" i="10"/>
  <c r="AF11" i="10" s="1"/>
  <c r="AG11" i="10" s="1"/>
  <c r="X10" i="10"/>
  <c r="Y10" i="10" s="1"/>
  <c r="AC10" i="10" s="1"/>
  <c r="M10" i="10"/>
  <c r="L10" i="10"/>
  <c r="AF10" i="10" s="1"/>
  <c r="X9" i="10"/>
  <c r="Y9" i="10" s="1"/>
  <c r="M9" i="10"/>
  <c r="L9" i="10"/>
  <c r="AF9" i="10" s="1"/>
  <c r="X8" i="10"/>
  <c r="Y8" i="10" s="1"/>
  <c r="M8" i="10"/>
  <c r="L8" i="10"/>
  <c r="AF8" i="10" s="1"/>
  <c r="AH8" i="10" s="1"/>
  <c r="X7" i="10"/>
  <c r="Y7" i="10" s="1"/>
  <c r="M7" i="10"/>
  <c r="L7" i="10"/>
  <c r="AF7" i="10" s="1"/>
  <c r="AG7" i="10" s="1"/>
  <c r="X8" i="2"/>
  <c r="Y8" i="2" s="1"/>
  <c r="X9" i="2"/>
  <c r="Y9" i="2" s="1"/>
  <c r="X10" i="2"/>
  <c r="Y10" i="2" s="1"/>
  <c r="X11" i="2"/>
  <c r="Y11" i="2" s="1"/>
  <c r="M9" i="2"/>
  <c r="M10" i="2"/>
  <c r="M11" i="2"/>
  <c r="L9" i="2"/>
  <c r="L10" i="2"/>
  <c r="L11" i="2"/>
  <c r="M8" i="2"/>
  <c r="L8" i="2"/>
  <c r="M7" i="2"/>
  <c r="L7" i="2"/>
  <c r="AF7" i="2" s="1"/>
  <c r="AH10" i="13" l="1"/>
  <c r="AG10" i="13"/>
  <c r="AC9" i="12"/>
  <c r="AB9" i="12"/>
  <c r="AG9" i="13"/>
  <c r="AH9" i="13"/>
  <c r="AH12" i="13" s="1"/>
  <c r="AH10" i="12"/>
  <c r="AG10" i="12"/>
  <c r="AC11" i="13"/>
  <c r="AB11" i="13"/>
  <c r="AC7" i="13"/>
  <c r="AB7" i="13"/>
  <c r="AB8" i="13"/>
  <c r="AC8" i="13"/>
  <c r="AC9" i="13"/>
  <c r="AB9" i="13"/>
  <c r="AG7" i="13"/>
  <c r="AG11" i="13"/>
  <c r="AG8" i="13"/>
  <c r="AC10" i="13"/>
  <c r="AC7" i="12"/>
  <c r="AB7" i="12"/>
  <c r="AC11" i="12"/>
  <c r="AB11" i="12"/>
  <c r="AG9" i="12"/>
  <c r="AH9" i="12"/>
  <c r="AH8" i="12"/>
  <c r="AH12" i="12" s="1"/>
  <c r="AG8" i="12"/>
  <c r="AG7" i="12"/>
  <c r="AB10" i="12"/>
  <c r="AG11" i="12"/>
  <c r="AH10" i="11"/>
  <c r="AG10" i="11"/>
  <c r="AG9" i="11"/>
  <c r="AH9" i="11"/>
  <c r="AH12" i="11" s="1"/>
  <c r="D12" i="1" s="1"/>
  <c r="AC11" i="11"/>
  <c r="AB11" i="11"/>
  <c r="AC7" i="11"/>
  <c r="AB7" i="11"/>
  <c r="AB8" i="11"/>
  <c r="AC8" i="11"/>
  <c r="AC9" i="11"/>
  <c r="AB9" i="11"/>
  <c r="AG7" i="11"/>
  <c r="AB10" i="11"/>
  <c r="AG11" i="11"/>
  <c r="AG8" i="11"/>
  <c r="AG9" i="10"/>
  <c r="AH9" i="10"/>
  <c r="AC11" i="10"/>
  <c r="AB11" i="10"/>
  <c r="AH10" i="10"/>
  <c r="AG10" i="10"/>
  <c r="AC7" i="10"/>
  <c r="AB7" i="10"/>
  <c r="AB8" i="10"/>
  <c r="AC8" i="10"/>
  <c r="AC9" i="10"/>
  <c r="AB9" i="10"/>
  <c r="AB10" i="10"/>
  <c r="AH7" i="10"/>
  <c r="AG8" i="10"/>
  <c r="AH11" i="10"/>
  <c r="D13" i="1" l="1"/>
  <c r="D14" i="1"/>
  <c r="AG12" i="13"/>
  <c r="AI12" i="13" s="1"/>
  <c r="AC12" i="13"/>
  <c r="AB12" i="13"/>
  <c r="AG12" i="10"/>
  <c r="C11" i="1" s="1"/>
  <c r="AG12" i="12"/>
  <c r="C14" i="1" s="1"/>
  <c r="AB12" i="12"/>
  <c r="AC12" i="12"/>
  <c r="AC12" i="11"/>
  <c r="G12" i="1" s="1"/>
  <c r="AG12" i="11"/>
  <c r="AB12" i="11"/>
  <c r="F12" i="1" s="1"/>
  <c r="AB12" i="10"/>
  <c r="F11" i="1" s="1"/>
  <c r="AC12" i="10"/>
  <c r="G11" i="1" s="1"/>
  <c r="AH12" i="10"/>
  <c r="AF11" i="2"/>
  <c r="AG11" i="2" s="1"/>
  <c r="AC11" i="2"/>
  <c r="AB11" i="2"/>
  <c r="AF10" i="2"/>
  <c r="AH10" i="2" s="1"/>
  <c r="AC10" i="2"/>
  <c r="AB10" i="2"/>
  <c r="AF9" i="2"/>
  <c r="AG9" i="2" s="1"/>
  <c r="AC9" i="2"/>
  <c r="AB9" i="2"/>
  <c r="AF8" i="2"/>
  <c r="AH8" i="2" s="1"/>
  <c r="AC8" i="2"/>
  <c r="AB8" i="2"/>
  <c r="AH7" i="2"/>
  <c r="F13" i="1" l="1"/>
  <c r="F14" i="1"/>
  <c r="G13" i="1"/>
  <c r="G14" i="1"/>
  <c r="AI12" i="12"/>
  <c r="C13" i="1"/>
  <c r="AI12" i="11"/>
  <c r="B12" i="1" s="1"/>
  <c r="C12" i="1"/>
  <c r="AI12" i="10"/>
  <c r="B11" i="1" s="1"/>
  <c r="D11" i="1"/>
  <c r="AH9" i="2"/>
  <c r="AG10" i="2"/>
  <c r="AG7" i="2"/>
  <c r="AG8" i="2"/>
  <c r="AH11" i="2"/>
  <c r="B13" i="1" l="1"/>
  <c r="B14" i="1"/>
  <c r="AH12" i="2"/>
  <c r="D10" i="1" s="1"/>
  <c r="E11" i="1"/>
  <c r="AG12" i="2"/>
  <c r="E13" i="1"/>
  <c r="AI12" i="2" l="1"/>
  <c r="B10" i="1" s="1"/>
  <c r="C10" i="1"/>
  <c r="E12" i="1"/>
  <c r="H13" i="1"/>
  <c r="E14" i="1"/>
  <c r="H11" i="1"/>
  <c r="E10" i="1" l="1"/>
  <c r="H14" i="1"/>
  <c r="H12" i="1"/>
  <c r="AB7" i="2" l="1"/>
  <c r="AB12" i="2" s="1"/>
  <c r="F10" i="1" s="1"/>
  <c r="H10" i="1" s="1"/>
  <c r="AC7" i="2"/>
  <c r="AC12" i="2" s="1"/>
  <c r="G1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tc={6D2FE631-38D4-4C23-B52D-845A621634B2}</author>
  </authors>
  <commentList>
    <comment ref="I4" authorId="0" shapeId="0" xr:uid="{6D2FE631-38D4-4C23-B52D-845A621634B2}">
      <text>
        <t xml:space="preserve">[Komentar beralur]
Versi Excel memungkinkan Anda untuk membaca komentar beralur; namun, setiap pengeditan pada komentar akan dihapus jika file dibuka di versi Excel yang lebih baru. Pelajari selengkapnya: https://go.microsoft.com/fwlink/?linkid=870924
Komentar:
    Kontrol Keamanan 
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tc={2696FE58-F749-4EA8-B237-C9ABEF0C5878}</author>
  </authors>
  <commentList>
    <comment ref="I4" authorId="0" shapeId="0" xr:uid="{2696FE58-F749-4EA8-B237-C9ABEF0C5878}">
      <text>
        <t xml:space="preserve">[Komentar beralur]
Versi Excel memungkinkan Anda untuk membaca komentar beralur; namun, setiap pengeditan pada komentar akan dihapus jika file dibuka di versi Excel yang lebih baru. Pelajari selengkapnya: https://go.microsoft.com/fwlink/?linkid=870924
Komentar:
    Kontrol Keamanan 
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tc={DB9C38BF-6573-46AD-873F-122B9249B639}</author>
  </authors>
  <commentList>
    <comment ref="I4" authorId="0" shapeId="0" xr:uid="{DB9C38BF-6573-46AD-873F-122B9249B639}">
      <text>
        <t xml:space="preserve">[Komentar beralur]
Versi Excel memungkinkan Anda untuk membaca komentar beralur; namun, setiap pengeditan pada komentar akan dihapus jika file dibuka di versi Excel yang lebih baru. Pelajari selengkapnya: https://go.microsoft.com/fwlink/?linkid=870924
Komentar:
    Kontrol Keamanan 
</t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tc={8946874D-2696-4CF9-BAF6-029EBCBC719C}</author>
  </authors>
  <commentList>
    <comment ref="I4" authorId="0" shapeId="0" xr:uid="{8946874D-2696-4CF9-BAF6-029EBCBC719C}">
      <text>
        <t xml:space="preserve">[Komentar beralur]
Versi Excel memungkinkan Anda untuk membaca komentar beralur; namun, setiap pengeditan pada komentar akan dihapus jika file dibuka di versi Excel yang lebih baru. Pelajari selengkapnya: https://go.microsoft.com/fwlink/?linkid=870924
Komentar:
    Kontrol Keamanan 
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tc={55CEE7E2-E175-463C-8510-C5E80E50CD6C}</author>
  </authors>
  <commentList>
    <comment ref="I4" authorId="0" shapeId="0" xr:uid="{55CEE7E2-E175-463C-8510-C5E80E50CD6C}">
      <text>
        <t xml:space="preserve">[Komentar beralur]
Versi Excel memungkinkan Anda untuk membaca komentar beralur; namun, setiap pengeditan pada komentar akan dihapus jika file dibuka di versi Excel yang lebih baru. Pelajari selengkapnya: https://go.microsoft.com/fwlink/?linkid=870924
Komentar:
    Kontrol Keamanan 
</t>
      </text>
    </comment>
  </commentList>
</comments>
</file>

<file path=xl/sharedStrings.xml><?xml version="1.0" encoding="utf-8"?>
<sst xmlns="http://schemas.openxmlformats.org/spreadsheetml/2006/main" count="710" uniqueCount="388">
  <si>
    <t>LAPORAN PENILAIAN RISIKO KEAMANAN SIBER 
PEMERINTAH DAERAH XXX</t>
  </si>
  <si>
    <t>No Dokumen</t>
  </si>
  <si>
    <t xml:space="preserve">: </t>
  </si>
  <si>
    <t>Revisi</t>
  </si>
  <si>
    <t>Tanggal</t>
  </si>
  <si>
    <t>Jenis Dok</t>
  </si>
  <si>
    <t>: Internal</t>
  </si>
  <si>
    <t>RISK ACCEPTABLE PROFILE</t>
  </si>
  <si>
    <t>KLASIFIKASI ASET</t>
  </si>
  <si>
    <t>JUMLAH RISIKO</t>
  </si>
  <si>
    <t>INHERENT RISK</t>
  </si>
  <si>
    <t>RESIDUAL RISK</t>
  </si>
  <si>
    <t>Number of Acceptable Risk</t>
  </si>
  <si>
    <t>Number of Unacceptable Risk</t>
  </si>
  <si>
    <t>% Acceptable of Inherent Risk</t>
  </si>
  <si>
    <t>% Acceptable of Residual Risk</t>
  </si>
  <si>
    <t>Data dan Informasi</t>
  </si>
  <si>
    <t>Perangkat Lunak</t>
  </si>
  <si>
    <t>Perangkat Keras</t>
  </si>
  <si>
    <t>Sarana Pendukung</t>
  </si>
  <si>
    <t xml:space="preserve">SDM &amp; Pihak Ketiga </t>
  </si>
  <si>
    <t>Disiapkan oleh,</t>
  </si>
  <si>
    <t>Disetujui oleh,</t>
  </si>
  <si>
    <t>Tanggal:</t>
  </si>
  <si>
    <t>Dokumen:</t>
  </si>
  <si>
    <t>Risk No</t>
  </si>
  <si>
    <t>Jenis Risiko</t>
  </si>
  <si>
    <t>Identifikasi Resiko</t>
  </si>
  <si>
    <t xml:space="preserve">Kontrol Saat Ini </t>
  </si>
  <si>
    <t>Nilai Resiko Bawaan (Inherent Risk)</t>
  </si>
  <si>
    <t>EVALUASI RISIKO</t>
  </si>
  <si>
    <t>RENCANA PENANGANAN RISIKO</t>
  </si>
  <si>
    <t>Residual Risk</t>
  </si>
  <si>
    <t>Rencana Kontrol Tambahan</t>
  </si>
  <si>
    <t>Risk Owner</t>
  </si>
  <si>
    <t>Ancaman</t>
  </si>
  <si>
    <t>Kategori</t>
  </si>
  <si>
    <t>Dampak</t>
  </si>
  <si>
    <t>Area Dampak</t>
  </si>
  <si>
    <t>Prioritas Risiko</t>
  </si>
  <si>
    <t>Opsi Penanganan</t>
  </si>
  <si>
    <t>Rencana Aksi Penanganan Risiko</t>
  </si>
  <si>
    <t>Keluaran</t>
  </si>
  <si>
    <t>Target/Jadwal Implementasi</t>
  </si>
  <si>
    <t>Penanggung Jawab</t>
  </si>
  <si>
    <t>Kemungkinan</t>
  </si>
  <si>
    <t>RR</t>
  </si>
  <si>
    <t>Status</t>
  </si>
  <si>
    <t>Residual</t>
  </si>
  <si>
    <t>IR</t>
  </si>
  <si>
    <t>Level Risiko</t>
  </si>
  <si>
    <t>Acc</t>
  </si>
  <si>
    <t>Not</t>
  </si>
  <si>
    <t>Status Inherent Risk</t>
  </si>
  <si>
    <t>sum</t>
  </si>
  <si>
    <t>DI-001</t>
  </si>
  <si>
    <t>DI-002</t>
  </si>
  <si>
    <t>DI-003</t>
  </si>
  <si>
    <t>DI-004</t>
  </si>
  <si>
    <t>DI-005</t>
  </si>
  <si>
    <t>REGISTER RISIKO KEAMANAN INFORMASI
(ASET: PERANGKAT LUNAK)</t>
  </si>
  <si>
    <t>PL-001</t>
  </si>
  <si>
    <t>PL-002</t>
  </si>
  <si>
    <t>PL-003</t>
  </si>
  <si>
    <t>PL-004</t>
  </si>
  <si>
    <t>PL-005</t>
  </si>
  <si>
    <t>REGISTER RISIKO KEAMANAN INFORMASI
(ASET: PERANGKAT KERAS)</t>
  </si>
  <si>
    <t>PK-001</t>
  </si>
  <si>
    <t>PK-002</t>
  </si>
  <si>
    <t>PK-003</t>
  </si>
  <si>
    <t>PK-004</t>
  </si>
  <si>
    <t>PK-005</t>
  </si>
  <si>
    <t>REGISTER RISIKO KEAMANAN INFORMASI
(ASET: SARANA PENDUKUNG)</t>
  </si>
  <si>
    <t>Matriks Analisis Risiko 5X5</t>
  </si>
  <si>
    <t>Level Dampak</t>
  </si>
  <si>
    <t>Tidak Signifikan</t>
  </si>
  <si>
    <t>Kurang Signifikan</t>
  </si>
  <si>
    <t>Cukup Signifikan</t>
  </si>
  <si>
    <t>Signifikan</t>
  </si>
  <si>
    <t>Sangat Signifikan</t>
  </si>
  <si>
    <t>Level Kemungkinan</t>
  </si>
  <si>
    <t>Hampir Tidak Terjadi</t>
  </si>
  <si>
    <t>Jarang Terjadi</t>
  </si>
  <si>
    <t>Kadang-Kadang Terjadi</t>
  </si>
  <si>
    <t>Sering Terjadi</t>
  </si>
  <si>
    <t>Hampir Pasti Terjadi</t>
  </si>
  <si>
    <t>Sangat Rendah</t>
  </si>
  <si>
    <t>Rendah</t>
  </si>
  <si>
    <t>Sedang</t>
  </si>
  <si>
    <t>Tinggi</t>
  </si>
  <si>
    <t>Sangat Tinggi</t>
  </si>
  <si>
    <t>Rentang Besaran Risiko</t>
  </si>
  <si>
    <t>Keterangan Warna</t>
  </si>
  <si>
    <t>1-5</t>
  </si>
  <si>
    <t>6-10</t>
  </si>
  <si>
    <t>11-15</t>
  </si>
  <si>
    <t>16-20</t>
  </si>
  <si>
    <t>21-25</t>
  </si>
  <si>
    <t>Terjadinya Dalam 1 Periode</t>
  </si>
  <si>
    <t>x&lt;= 5%</t>
  </si>
  <si>
    <t>&lt; 2 kali dalam 1 tahun</t>
  </si>
  <si>
    <t>5%&lt;x&lt;=10%</t>
  </si>
  <si>
    <t>2-5 kali dalam 1 tahun</t>
  </si>
  <si>
    <t>10%&lt;x&lt;=20%</t>
  </si>
  <si>
    <t>6-9 kali dalam 1 tahun</t>
  </si>
  <si>
    <t>20%&lt;x&lt;=50%</t>
  </si>
  <si>
    <t>10-12 kali dalam 1 tahun</t>
  </si>
  <si>
    <t>x&gt;50%</t>
  </si>
  <si>
    <t>&gt; 12 kali dalam 1 tahun</t>
  </si>
  <si>
    <t>Finansial</t>
  </si>
  <si>
    <t>Reputasi</t>
  </si>
  <si>
    <t>Kinerja</t>
  </si>
  <si>
    <t>Layanan Organisasi</t>
  </si>
  <si>
    <t>Operasional TIK</t>
  </si>
  <si>
    <t>Hukum dan Regulasi</t>
  </si>
  <si>
    <t>SDM</t>
  </si>
  <si>
    <t>Uraian Tambahan jika dibutuhkan</t>
  </si>
  <si>
    <t>Jumlah kerugian negara ≤ Rp 10 juta</t>
  </si>
  <si>
    <t>Keluhan stakeholder secara langsung lisan/ tertulis jumlahnya ≤ 3 kali dalam satu periode</t>
  </si>
  <si>
    <t>Penurunan &lt;20%</t>
  </si>
  <si>
    <t>Business Process tertunda ≤ 1 hari</t>
  </si>
  <si>
    <t>Gangguan kecil</t>
  </si>
  <si>
    <t>Tidak ada pelanggaran hukum</t>
  </si>
  <si>
    <t>N/A</t>
  </si>
  <si>
    <t>umlah kerugian negara lebih dari Rp 10 juta s.d Rp 50 juta</t>
  </si>
  <si>
    <t>Keluhan stakeholder secara langsung lisan/ tertulis ke organisasi jumlahnya lebih dari 3 kali dalam satu periode</t>
  </si>
  <si>
    <t>Penurunan 20%&lt;x&lt;=40%</t>
  </si>
  <si>
    <t>Business Process tertunda di atas 1 hari s.d. 5 hari</t>
  </si>
  <si>
    <t>Gangguan sporadis</t>
  </si>
  <si>
    <t>Pelanggaran ringan dengan teguran</t>
  </si>
  <si>
    <t>Jumlah kerugian negara lebih dari Rp 50 juta s.d Rp 100 juta</t>
  </si>
  <si>
    <t>Pemberitaan negatif di dalam media massa lokal</t>
  </si>
  <si>
    <t>Penurunan 40%&lt;x&lt;=60%</t>
  </si>
  <si>
    <t>Business Process tertunda di atas 5 hari s.d. 15 hari</t>
  </si>
  <si>
    <t>Terhenti sementara</t>
  </si>
  <si>
    <t>Pelanggaran ringan dengan surat peringatan</t>
  </si>
  <si>
    <t>Jumlah kerugian negara lebih dari Rp 100 juta s.d Rp 500 juta</t>
  </si>
  <si>
    <t>Pemberitaan negatif di dalam media massa nasional</t>
  </si>
  <si>
    <t>Penurunan 60%&lt;x&lt;=80%</t>
  </si>
  <si>
    <t>Business Process tertunda di atas 15 hari s.d. 30 hari</t>
  </si>
  <si>
    <t>Terhenti lama</t>
  </si>
  <si>
    <t>Pelanggaran sedang yang dikenakan sanksi administratif</t>
  </si>
  <si>
    <t>Jumlah kerugian negara lebih Rp 500 juta</t>
  </si>
  <si>
    <t>Pemberitaan negatif di dalam media massa internasional</t>
  </si>
  <si>
    <t>Penurunan &gt;80%</t>
  </si>
  <si>
    <t>Business Process tertunda di atas 30 hari</t>
  </si>
  <si>
    <t>Tidak berfungsi</t>
  </si>
  <si>
    <t>Pelanggaran berat dengan sanksi hukum</t>
  </si>
  <si>
    <t>Ya</t>
  </si>
  <si>
    <t>SDM &amp; Pihak Ketiga</t>
  </si>
  <si>
    <t xml:space="preserve">Penyalahgunaan Kontrol Akses </t>
  </si>
  <si>
    <t>Pencurian Data Pribadi</t>
  </si>
  <si>
    <t>Insiden Web Defacement</t>
  </si>
  <si>
    <t>Keamanan Cloud Service</t>
  </si>
  <si>
    <t>Keamanan Infrastruktur</t>
  </si>
  <si>
    <t>Ketidaksesuaian Pengelolaan Aplikasi</t>
  </si>
  <si>
    <t>Kesalahan Pengelolaan Data dan Informasi Terbatas</t>
  </si>
  <si>
    <t xml:space="preserve">Kesalahan Pengelolaan SDM </t>
  </si>
  <si>
    <t xml:space="preserve">Kesalahan Pengelolaan Aset </t>
  </si>
  <si>
    <t>Kesalahan Pengelolaan oleh Pihak Ketiga</t>
  </si>
  <si>
    <t>Terganggunya Keberlangsungan Layanan</t>
  </si>
  <si>
    <t>Insiden Serangan Malware</t>
  </si>
  <si>
    <t>Aset</t>
  </si>
  <si>
    <t>Kerawanan/Kelemahan</t>
  </si>
  <si>
    <t>Apakah Terdapat Residual Risk</t>
  </si>
  <si>
    <t>REGISTER RISIKO KEAMANAN INFORMASI
(ASET: DATA &amp; INFORMASI)</t>
  </si>
  <si>
    <t>Kategori Risiko Keamanan SPBE</t>
  </si>
  <si>
    <t>REGISTER RISIKO KEAMANAN INFORMASI
(ASET: SDM &amp; PIHAK KETIGA)</t>
  </si>
  <si>
    <t>SP-001</t>
  </si>
  <si>
    <t>SP-002</t>
  </si>
  <si>
    <t>SP-003</t>
  </si>
  <si>
    <t>SP-004</t>
  </si>
  <si>
    <t>SP-005</t>
  </si>
  <si>
    <t>PS-001</t>
  </si>
  <si>
    <t>PS-002</t>
  </si>
  <si>
    <t>PS-003</t>
  </si>
  <si>
    <t>PS-004</t>
  </si>
  <si>
    <t>PS-005</t>
  </si>
  <si>
    <t>Server secara logikal dapat diakses oleh pihak yang tidak berwenang</t>
  </si>
  <si>
    <t>Tidak adanya prosedur yang mengatur pengaksesan server secara logikal sesuai dengan wewenang dan privilege personil</t>
  </si>
  <si>
    <t>Password tidak pernah diganti secara berkala</t>
  </si>
  <si>
    <t>Tidak menerapkan sistem keamanan pada server</t>
  </si>
  <si>
    <t>Belum ada penerapan segmentasi jaringan</t>
  </si>
  <si>
    <t>VPN belum terintegrasi dengan active directory</t>
  </si>
  <si>
    <t>Server secara fisikal dapat diakses oleh pihak yang tidak berwenang</t>
  </si>
  <si>
    <t>Tidak adanya prosedur yang mengatur pengaksesan server secara fisikal sesuai dengan wewenang dan privilege personil</t>
  </si>
  <si>
    <t>Tidak menerapkan sistem keamanan fisik pada server</t>
  </si>
  <si>
    <t>Pengawasan akses fisik oleh pihak berwenang kurang optimal</t>
  </si>
  <si>
    <t>Akses keluar masuk ruang server tidak terkendali dan terdokumentasikan dengan baik</t>
  </si>
  <si>
    <t>Rak server tidak dikunci</t>
  </si>
  <si>
    <t xml:space="preserve">Tidak adanya mekanisme terpusat untuk monitoring penggunaan user dalam mengakses server </t>
  </si>
  <si>
    <t>Tidak optimalnya manajemen log akses server</t>
  </si>
  <si>
    <t>Server dapat disusupi backdoor</t>
  </si>
  <si>
    <t>Kurangnya security awareness  pengguna server</t>
  </si>
  <si>
    <t>Manajemen password yang buruk</t>
  </si>
  <si>
    <t xml:space="preserve">Tidak ada anti malware atau antivirus </t>
  </si>
  <si>
    <t>Pelaksanaan Vulnerability Assessment tidak dilakukan secara berkala</t>
  </si>
  <si>
    <t>Firewall tidak diaktifkan</t>
  </si>
  <si>
    <t>Masih terdapat port terbuka yang tidak digunakan</t>
  </si>
  <si>
    <t>Kerusakan pada server</t>
  </si>
  <si>
    <t>Kurangnya mekanisme pemeliharaan terhadap server</t>
  </si>
  <si>
    <t>Listrik tidak stabil / sering mengalami pemadaman listrik</t>
  </si>
  <si>
    <t>Kapasitas server melebihi batas</t>
  </si>
  <si>
    <t>Kurangnya monitoring terhadap kapasitas penggunaan server serta pembaharuan kebutuhan kapastitas server</t>
  </si>
  <si>
    <t>Kegagalan fungsi server</t>
  </si>
  <si>
    <t>Kurangnya monitoring, pengujian dan pemeliharaan server</t>
  </si>
  <si>
    <t>Server kekurangan daya</t>
  </si>
  <si>
    <t>Perubahan konfigurasi sistem pada server tidak terkelola dengan baik</t>
  </si>
  <si>
    <t>Tidak adanya proses change management</t>
  </si>
  <si>
    <t>Kesalahan operasional (pencabutan dan penyambungan kabel) akibat penataan kabel yang tidak rapih</t>
  </si>
  <si>
    <t>Lingkungan ruang server tidak dimonitor secara berkala (debu, suhu, dan kelembaban)</t>
  </si>
  <si>
    <t>PC/ Laptop digunakan oleh pihak yang tidak berwenang</t>
  </si>
  <si>
    <t>Kurangnya security awareness  pengguna PC/laptop</t>
  </si>
  <si>
    <t>Tidak ada pengaturan pembatasan penggunaan PC / laptop</t>
  </si>
  <si>
    <t>Tidak ada penerapan sistem keamanan pada PC / laptop</t>
  </si>
  <si>
    <t>Tidak berjalannya prosedur pengamanan yang sudah ada</t>
  </si>
  <si>
    <t>Pengelolaan pengguna dan password PC &amp; laptop belum dilakukan secara terpadu</t>
  </si>
  <si>
    <t>PC / Laptop terkena malicious code</t>
  </si>
  <si>
    <t>Tidak adanya antivirus yang digunakan</t>
  </si>
  <si>
    <t>Kerusakan PC/Laptop</t>
  </si>
  <si>
    <t>Kelalaian pengguna PC/laptop</t>
  </si>
  <si>
    <t>Kurangnya maintenance terhadap PC/laptop</t>
  </si>
  <si>
    <t>Pengguna dapat melakukan modifikasi konfigurasi dan aplikasi tanpa otorisasi</t>
  </si>
  <si>
    <t>Kehilangan PC/Laptop</t>
  </si>
  <si>
    <t>Pengamanan fisik PC/Laptop belum diterapkan oleh pengguna</t>
  </si>
  <si>
    <t>Proses pengembalian aset/informasi bagi personil yang mengundurkan diri atau dimutasikan tidak terkelola dengan baik</t>
  </si>
  <si>
    <t xml:space="preserve">Kurangnya security awareness </t>
  </si>
  <si>
    <t>Tidak menerapkan manajemen password yang kuat pada PC/laptop</t>
  </si>
  <si>
    <t>Tidak dilakukan update dan/atau patch keamanan</t>
  </si>
  <si>
    <t>Menggunakan jaringan publik yang tidak aman</t>
  </si>
  <si>
    <t>Removable media tidak terinventarisasi dengan baik</t>
  </si>
  <si>
    <t>Kurangnya pemeliharaan printer</t>
  </si>
  <si>
    <t>Akses ruangan tidak dibatasi (pencuri, atau pihak yang tidak berwenang)</t>
  </si>
  <si>
    <t>Database penuh / melebihi kapasitas</t>
  </si>
  <si>
    <t>Kurangnya monitoring terhadap kapasitas penggunaan database serta pembaharuan kebutuhan kapastitas database</t>
  </si>
  <si>
    <t>Versi database tidak up-to-date</t>
  </si>
  <si>
    <t>Manajemen password yang buruk pada database</t>
  </si>
  <si>
    <t>Tidak ada anti malware atau antivirus</t>
  </si>
  <si>
    <t>Tidak adanya prosedur yang mengatur pengaksesan database sesuai dengan wewenang dan privilege personil</t>
  </si>
  <si>
    <t xml:space="preserve">Belum ada atau belum diupdate antivirus </t>
  </si>
  <si>
    <t>Kurangnya kesadaran keamanan informasi personil</t>
  </si>
  <si>
    <t>OS error / mengalami kerusakan</t>
  </si>
  <si>
    <t>Adanya missconfigurasi saat instalasi dan konfigurasi OS</t>
  </si>
  <si>
    <t>Terjadi kesalahan pada saat OS digunakan</t>
  </si>
  <si>
    <t xml:space="preserve">Belum adanya/belum updatenya antivirus </t>
  </si>
  <si>
    <t xml:space="preserve">Penggunan patch pada OS </t>
  </si>
  <si>
    <t>Penyalahgunaan aplikasi oleh pihak yang tidak berwenang</t>
  </si>
  <si>
    <t>Tidak ada dan/atau tidak dilaksanakan kebijakan akses kontrol pengelola IT pada proses otentikasi</t>
  </si>
  <si>
    <t>Aplikasi yang dibuat tidak sesuai dengan desain perancangan perangkat lunak atau tidak menerapkan metode DevSecOps</t>
  </si>
  <si>
    <t>Username dan password tersimpan secara otomatis</t>
  </si>
  <si>
    <t>Masih ditemukan bug pada aplikasi</t>
  </si>
  <si>
    <t>Username dan password tidak terintegrasi ke Active Directory</t>
  </si>
  <si>
    <t>Tidak ada pembatasan pada mekanisme login</t>
  </si>
  <si>
    <t>Kurangnya mekanisme pemantauan hak akses</t>
  </si>
  <si>
    <t>Lemahnya mekanisme kriptografi aplikasi</t>
  </si>
  <si>
    <t>Data sensitif/password tertulis pada sistem log</t>
  </si>
  <si>
    <t>Tidak ada anti malware atau antivirus pada device pengguna</t>
  </si>
  <si>
    <t>Aplikasi tidak update</t>
  </si>
  <si>
    <t>Tidak ada atau tidak cukup waktu pengujian pada aplikasi</t>
  </si>
  <si>
    <t>Kurangnya mekanisme otentikasi</t>
  </si>
  <si>
    <t>Modifikasi aplikasi tidak melalui otorisasi</t>
  </si>
  <si>
    <t>Proses perubahan aplikasi tidak terotorisasi</t>
  </si>
  <si>
    <t>Tidak ada mekanisme otentikasi  ataupun tidak diterapkannya two factor authentication</t>
  </si>
  <si>
    <t>Aplikasi mudah dilakukan reverse engineering</t>
  </si>
  <si>
    <t>Kurangnya maintenance terhadap aplikasi secara berkala</t>
  </si>
  <si>
    <t>Kurangnya kontrol perubahan yang efektif</t>
  </si>
  <si>
    <t>Kesalahan pada penggunaan aplikasi</t>
  </si>
  <si>
    <t>Implementasi patch yang tidak kompatibel</t>
  </si>
  <si>
    <t>Data pada aplikasi tidak tersedia</t>
  </si>
  <si>
    <t>Kurang optimalnya sistem back up pada aplikasi</t>
  </si>
  <si>
    <t>Kegagalan fungsi pada aplikasi</t>
  </si>
  <si>
    <t>Adanya miss konfigurasi pada aplikasi</t>
  </si>
  <si>
    <t>Kurangnya pengujian fungsi aplikasi secara berkala</t>
  </si>
  <si>
    <t>Aplikasi tidak sesuai dengan kebutuhan</t>
  </si>
  <si>
    <t>UAT tidak melibatkan end user</t>
  </si>
  <si>
    <t>Tidak adanya monitoring pengembangan aplikasi oleh Pihak ke-3</t>
  </si>
  <si>
    <t>Lingkungan pengujian aplikasi tidak sesuai dengan kondisi di lingkungan production</t>
  </si>
  <si>
    <t>Adanya backdoor  pada  aplikasi</t>
  </si>
  <si>
    <t>Aplikasi mudah untuk di build ulang</t>
  </si>
  <si>
    <t>Adanya backdoor pada  OS</t>
  </si>
  <si>
    <t>OS tidak up-to-date</t>
  </si>
  <si>
    <t>Penggunaan OS yang tidak resmi</t>
  </si>
  <si>
    <t>Kebocoran data/informasi diakses oleh pihak yang tidak berwenang</t>
  </si>
  <si>
    <t>Kurangnya prosedur mengenai penetapan hak akses terhadap informasi</t>
  </si>
  <si>
    <t>Belum adanya kebijakan yang mengatur tentang pengelolaan data/informasi (mulai dari penyimpanan data hingga pemusnahan data)</t>
  </si>
  <si>
    <t>Belum diterapkannya algoritma kriptografi terhadap informasi/data</t>
  </si>
  <si>
    <t xml:space="preserve">Kurangnya Awareness mengenai klasifikasi informasi (informasi rahasia, informasi internal, informasi publik) dan penanganannya ke personil internal maupun eksternal </t>
  </si>
  <si>
    <t>Informasi hilang atau corrupt</t>
  </si>
  <si>
    <t>Kurang optimalnya prosedur back up data</t>
  </si>
  <si>
    <t>Kelalaian personil dalam mengelola informasi / data</t>
  </si>
  <si>
    <t>Kurangnya awareness mengenai penanganan dan klasifikasi informasi (Informasi rahasia, Informasi internal, informasi publik)</t>
  </si>
  <si>
    <t>Dokumentasi tidak terpelihara secara memadai  (tidak terkendali perubahannya serta tidak pernah ditinjau kesesuaiannya)</t>
  </si>
  <si>
    <t>Penyalahgunaan informasi</t>
  </si>
  <si>
    <t xml:space="preserve">Belum adanya prosedur terkait pembatasan hak akses terhadap informasi </t>
  </si>
  <si>
    <t>Belum diterapkannya algoritma kriptografi terhadap informasi-informasi sensitif</t>
  </si>
  <si>
    <t>Modifikasi informasi oleh pihak yang tidak berwenang</t>
  </si>
  <si>
    <t>Belum diterapkannya sistem algoritma kriptografi  terhadap informasi/data</t>
  </si>
  <si>
    <t xml:space="preserve">Personil melakukan pembocoran informasi </t>
  </si>
  <si>
    <t>Kurangnya security awareness dari personil</t>
  </si>
  <si>
    <t>Prosedur rekruitmen dan penempatan pegawai tidak melingkupi aspek keamanan informasi</t>
  </si>
  <si>
    <t>Social Engineering</t>
  </si>
  <si>
    <t>Tidak adanya evaluasi terhadap risiko keamanan informasi pada pegawai</t>
  </si>
  <si>
    <t>Penyalahgunaan wewenang</t>
  </si>
  <si>
    <t>Kurangnya rasa tanggungjawab dan pemahaman tugas personil terkait keamanan informasi sesuai tugas dan perannya masing-masing</t>
  </si>
  <si>
    <t>Belum adanya kebijakan yang mengatur pembatasan hak akses personil sesuai dengan tugas dan wewenangnya</t>
  </si>
  <si>
    <t>Pihak ketiga membocorkan informasi</t>
  </si>
  <si>
    <t>Kurang jelasnya kebijakan dan peraturan yang mengatur pihak ketiga (NDA)</t>
  </si>
  <si>
    <t>Kurangnya ketentuan yang memadai (mengenai kerahasiaan) dalam kontrak dengan pihak ketiga</t>
  </si>
  <si>
    <t>Kurang tepatnya cara screening dalam pemilihan pihak ketiga</t>
  </si>
  <si>
    <t>Tidak terdapat personil pengganti dengan kompetensi yang setara</t>
  </si>
  <si>
    <t>Kurangnya sumber daya manusia yang memiliki kompetensi yang setara (di bidang keamanan siber)</t>
  </si>
  <si>
    <t>Personil absen/cuti untuk jangka waktu yang cukup panjang</t>
  </si>
  <si>
    <t>Epidemi penyakit</t>
  </si>
  <si>
    <t>Personil dimutasi / dirotasi / didemosi/ dipromosi / resign</t>
  </si>
  <si>
    <t>Personil tidak melakukan tugas secara optimal</t>
  </si>
  <si>
    <t>Kurangnya kontrol terhadap pelaksanaan tugas dan kewajiban personil</t>
  </si>
  <si>
    <t xml:space="preserve">Kurangnya kemampuan dan keterampilan yang dimiliki personil untuk suatu pekerjaan </t>
  </si>
  <si>
    <t>Deskripsi peran dan tanggung jawab masing-masing personil kurang jelas</t>
  </si>
  <si>
    <t>Beban dan wewenang kerja yang terlalu besar</t>
  </si>
  <si>
    <t>Kurangnya disiplin personil</t>
  </si>
  <si>
    <t>Belum adanya peraturan terkait reward and punishment untuk pegawai</t>
  </si>
  <si>
    <t>OS server tidak up-to-date</t>
  </si>
  <si>
    <t>Aplikasi yang terdapat pada server tidak up-to-date</t>
  </si>
  <si>
    <t>Aplikasi dan/atau OS pada PC/laptop tidak up-to-date</t>
  </si>
  <si>
    <t>Kerentanan</t>
  </si>
  <si>
    <t>Database terkena serangan siber</t>
  </si>
  <si>
    <t>OS terkena serangan siber</t>
  </si>
  <si>
    <t>OS disisipi malicious code</t>
  </si>
  <si>
    <t>Terjadi peretasan pada server</t>
  </si>
  <si>
    <t>Terjadi peretasan pada aplikasi</t>
  </si>
  <si>
    <t>PC/Laptop diretas</t>
  </si>
  <si>
    <t>Kehilangan removable media/storage media</t>
  </si>
  <si>
    <t xml:space="preserve">Sarana Pendukung </t>
  </si>
  <si>
    <t>Kehilangan / Kerusakan pada support appliance</t>
  </si>
  <si>
    <t>Tidak melakukan update secara berkala</t>
  </si>
  <si>
    <t xml:space="preserve">Tidak melakukan pengujian keamanan secara berkala </t>
  </si>
  <si>
    <t>Keputusan Penanganan Risiko</t>
  </si>
  <si>
    <t xml:space="preserve">Keputusan Penanganan Risiko </t>
  </si>
  <si>
    <t>Negatif</t>
  </si>
  <si>
    <t>Kebocoran data pribadi</t>
  </si>
  <si>
    <t>Data pribadi pegawai disalahgunakan oleh pihak yang tidak berwenang</t>
  </si>
  <si>
    <t xml:space="preserve">Belum ada </t>
  </si>
  <si>
    <t>Mitigasi Risiko</t>
  </si>
  <si>
    <t>Menyusun Kebijakan Data Pribadi</t>
  </si>
  <si>
    <t>Kebijakan Data Pribadi</t>
  </si>
  <si>
    <t>Desember 2025</t>
  </si>
  <si>
    <t>Kepala Bidang Persandian</t>
  </si>
  <si>
    <t>Dokumen Data Statistik Sektoral</t>
  </si>
  <si>
    <t>Aplikasi Data Statistik Sektoral</t>
  </si>
  <si>
    <t xml:space="preserve">Belum ada kebijakan pengaturan data pribadi/ data statistik </t>
  </si>
  <si>
    <t>Oktober 2025</t>
  </si>
  <si>
    <t>-</t>
  </si>
  <si>
    <t xml:space="preserve">Diskominfo </t>
  </si>
  <si>
    <t>Terkena serangan web defacement</t>
  </si>
  <si>
    <t xml:space="preserve">Konfigurasi default </t>
  </si>
  <si>
    <t xml:space="preserve">Aplikasi tidak dapat diakses </t>
  </si>
  <si>
    <t>Operasional dan Aset TIK</t>
  </si>
  <si>
    <t>Melakukan update konfigurasi sistem</t>
  </si>
  <si>
    <t>Sistem terupdate</t>
  </si>
  <si>
    <t>Agustus 2025</t>
  </si>
  <si>
    <t>Kepala Bidang TIK</t>
  </si>
  <si>
    <t>Melakukan uji keamanan sistem secara berkala</t>
  </si>
  <si>
    <t xml:space="preserve">Server </t>
  </si>
  <si>
    <t>Server diakses oleh pihak yang tidak berwenang</t>
  </si>
  <si>
    <t>Belum ada pembatasan hak akses ke data center</t>
  </si>
  <si>
    <t>Server tidak dapat diakses</t>
  </si>
  <si>
    <t xml:space="preserve">Larangan / tata tertib data center </t>
  </si>
  <si>
    <t>Memasang kunci berbasis fingerprint</t>
  </si>
  <si>
    <t>Terpasangnya kunci berbasis fingerprint di data center</t>
  </si>
  <si>
    <t>Triwulan I Tahun 2026</t>
  </si>
  <si>
    <t>Diskominfo</t>
  </si>
  <si>
    <t xml:space="preserve">AC </t>
  </si>
  <si>
    <t xml:space="preserve">APAR </t>
  </si>
  <si>
    <t xml:space="preserve">Sensor Asap </t>
  </si>
  <si>
    <t xml:space="preserve">Pihak Ketiga </t>
  </si>
  <si>
    <t xml:space="preserve">Pihak Ketiga membocorkan informasi </t>
  </si>
  <si>
    <t xml:space="preserve">Tidak ada perjanjian kerahasiaan </t>
  </si>
  <si>
    <t>Web Defacement</t>
  </si>
  <si>
    <t>Tidak</t>
  </si>
  <si>
    <t>Data Hasil Audit</t>
  </si>
  <si>
    <t xml:space="preserve">Kebocoran data </t>
  </si>
  <si>
    <t>Dokumen tidak disimpan dengan baik</t>
  </si>
  <si>
    <t>Ancaman/Kejadian</t>
  </si>
  <si>
    <t>Kerawanan/Kelemahan/
Penyebab</t>
  </si>
  <si>
    <t>Hasil audit disalahgunakan oleh pihak yang tidak berwenang</t>
  </si>
  <si>
    <t>Menerapkan enkripsi/password pada data hasil audit elektronik</t>
  </si>
  <si>
    <t>Data Hasil Audit yang terenkripsi</t>
  </si>
  <si>
    <t xml:space="preserve">Inspektur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</si>
</sst>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0"/>
      <name val="Arial"/>
      <family val="2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Wingdings"/>
      <charset val="2"/>
    </font>
    <font>
      <sz val="12"/>
      <color theme="1"/>
      <name val="Symbol"/>
      <family val="1"/>
      <charset val="2"/>
    </font>
    <font>
      <b/>
      <sz val="15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5"/>
        <bgColor theme="5"/>
      </patternFill>
    </fill>
    <fill>
      <patternFill patternType="solid">
        <fgColor theme="8" tint="-0.24994659260841701"/>
        <bgColor theme="8" tint="-0.24994659260841701"/>
      </patternFill>
    </fill>
    <fill>
      <patternFill patternType="solid">
        <fgColor rgb="FFC00000"/>
        <bgColor rgb="FFC00000"/>
      </patternFill>
    </fill>
    <fill>
      <patternFill patternType="solid">
        <fgColor rgb="FF00B050"/>
        <bgColor rgb="FF00B050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theme="9" tint="0.39997558519241921"/>
        <bgColor theme="9" tint="0.39997558519241921"/>
      </patternFill>
    </fill>
    <fill>
      <patternFill patternType="solid">
        <fgColor theme="5" tint="0.39997558519241921"/>
        <bgColor theme="5" tint="0.39997558519241921"/>
      </patternFill>
    </fill>
    <fill>
      <patternFill patternType="solid">
        <fgColor rgb="FFFCF303"/>
        <bgColor rgb="FFFCF303"/>
      </patternFill>
    </fill>
    <fill>
      <patternFill patternType="solid">
        <fgColor indexed="2"/>
        <bgColor indexed="2"/>
      </patternFill>
    </fill>
  </fills>
  <borders count="3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medium">
        <color auto="1"/>
      </top>
      <bottom/>
      <diagonal/>
    </border>
    <border>
      <left/>
      <right style="thin">
        <color indexed="64"/>
      </right>
      <top/>
      <bottom style="double">
        <color auto="1"/>
      </bottom>
      <diagonal/>
    </border>
  </borders>
  <cellStyleXfs count="2">
    <xf numFmtId="0" fontId="0" fillId="0" borderId="0"/>
    <xf numFmtId="0" fontId="3" fillId="0" borderId="0"/>
  </cellStyleXfs>
  <cellXfs count="18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5" fillId="0" borderId="4" xfId="0" applyFont="1" applyBorder="1"/>
    <xf numFmtId="0" fontId="6" fillId="0" borderId="0" xfId="0" applyFont="1" applyAlignment="1">
      <alignment horizontal="center" vertical="center"/>
    </xf>
    <xf numFmtId="0" fontId="8" fillId="2" borderId="14" xfId="0" applyFont="1" applyFill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15" xfId="0" applyFont="1" applyBorder="1"/>
    <xf numFmtId="0" fontId="6" fillId="0" borderId="16" xfId="0" applyFont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10" fontId="9" fillId="2" borderId="16" xfId="0" applyNumberFormat="1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10" fontId="6" fillId="3" borderId="16" xfId="0" applyNumberFormat="1" applyFont="1" applyFill="1" applyBorder="1" applyAlignment="1">
      <alignment horizontal="center" vertical="center" wrapText="1"/>
    </xf>
    <xf numFmtId="0" fontId="6" fillId="0" borderId="8" xfId="0" applyFont="1" applyBorder="1"/>
    <xf numFmtId="10" fontId="6" fillId="3" borderId="9" xfId="0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7" xfId="0" applyBorder="1"/>
    <xf numFmtId="0" fontId="0" fillId="0" borderId="19" xfId="0" applyBorder="1" applyAlignment="1">
      <alignment wrapText="1"/>
    </xf>
    <xf numFmtId="0" fontId="0" fillId="0" borderId="19" xfId="0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5" fillId="0" borderId="10" xfId="0" applyFont="1" applyBorder="1" applyAlignment="1">
      <alignment horizontal="center" wrapText="1"/>
    </xf>
    <xf numFmtId="0" fontId="0" fillId="0" borderId="11" xfId="0" quotePrefix="1" applyBorder="1" applyAlignment="1">
      <alignment horizontal="left" vertical="center" wrapText="1"/>
    </xf>
    <xf numFmtId="0" fontId="0" fillId="0" borderId="11" xfId="0" applyBorder="1" applyAlignment="1">
      <alignment horizontal="center" vertical="center" wrapText="1"/>
    </xf>
    <xf numFmtId="15" fontId="11" fillId="0" borderId="11" xfId="0" applyNumberFormat="1" applyFont="1" applyBorder="1" applyAlignment="1">
      <alignment horizontal="right" vertical="center" wrapText="1"/>
    </xf>
    <xf numFmtId="15" fontId="11" fillId="0" borderId="12" xfId="0" applyNumberFormat="1" applyFont="1" applyBorder="1" applyAlignment="1">
      <alignment horizontal="left" vertical="center" wrapText="1"/>
    </xf>
    <xf numFmtId="0" fontId="0" fillId="0" borderId="9" xfId="0" applyBorder="1" applyAlignment="1">
      <alignment vertical="center"/>
    </xf>
    <xf numFmtId="0" fontId="12" fillId="0" borderId="9" xfId="0" applyFont="1" applyBorder="1" applyAlignment="1">
      <alignment vertical="center"/>
    </xf>
    <xf numFmtId="0" fontId="12" fillId="0" borderId="9" xfId="0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49" fontId="5" fillId="0" borderId="9" xfId="0" applyNumberFormat="1" applyFont="1" applyBorder="1" applyAlignment="1">
      <alignment vertical="center"/>
    </xf>
    <xf numFmtId="0" fontId="8" fillId="4" borderId="9" xfId="0" applyFont="1" applyFill="1" applyBorder="1" applyAlignment="1">
      <alignment horizontal="center" vertical="center" wrapText="1"/>
    </xf>
    <xf numFmtId="0" fontId="0" fillId="0" borderId="12" xfId="0" applyBorder="1"/>
    <xf numFmtId="0" fontId="0" fillId="0" borderId="9" xfId="0" applyBorder="1"/>
    <xf numFmtId="0" fontId="14" fillId="6" borderId="20" xfId="0" applyFont="1" applyFill="1" applyBorder="1" applyAlignment="1">
      <alignment horizontal="center" vertical="center" wrapText="1"/>
    </xf>
    <xf numFmtId="0" fontId="14" fillId="6" borderId="16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horizontal="left" vertical="center" wrapText="1"/>
    </xf>
    <xf numFmtId="0" fontId="0" fillId="0" borderId="9" xfId="0" applyBorder="1" applyAlignment="1">
      <alignment vertical="center" wrapText="1"/>
    </xf>
    <xf numFmtId="0" fontId="0" fillId="0" borderId="9" xfId="0" applyBorder="1" applyAlignment="1">
      <alignment horizontal="left" vertical="top" wrapText="1"/>
    </xf>
    <xf numFmtId="0" fontId="3" fillId="0" borderId="0" xfId="1"/>
    <xf numFmtId="0" fontId="3" fillId="0" borderId="9" xfId="1" applyBorder="1" applyAlignment="1">
      <alignment horizontal="center" vertical="center" wrapText="1"/>
    </xf>
    <xf numFmtId="0" fontId="3" fillId="0" borderId="9" xfId="1" applyBorder="1" applyAlignment="1">
      <alignment horizontal="center"/>
    </xf>
    <xf numFmtId="0" fontId="3" fillId="0" borderId="9" xfId="1" applyBorder="1" applyAlignment="1">
      <alignment horizontal="center" vertical="center"/>
    </xf>
    <xf numFmtId="0" fontId="3" fillId="7" borderId="9" xfId="1" applyFill="1" applyBorder="1" applyAlignment="1">
      <alignment horizontal="center" vertical="center"/>
    </xf>
    <xf numFmtId="0" fontId="3" fillId="8" borderId="9" xfId="1" applyFill="1" applyBorder="1" applyAlignment="1">
      <alignment horizontal="center" vertical="center"/>
    </xf>
    <xf numFmtId="0" fontId="3" fillId="9" borderId="9" xfId="1" applyFill="1" applyBorder="1" applyAlignment="1">
      <alignment horizontal="center" vertical="center"/>
    </xf>
    <xf numFmtId="0" fontId="3" fillId="10" borderId="9" xfId="1" applyFill="1" applyBorder="1" applyAlignment="1">
      <alignment horizontal="center" vertical="center"/>
    </xf>
    <xf numFmtId="0" fontId="3" fillId="11" borderId="9" xfId="1" applyFill="1" applyBorder="1" applyAlignment="1">
      <alignment horizontal="center" vertical="center"/>
    </xf>
    <xf numFmtId="0" fontId="3" fillId="7" borderId="9" xfId="1" applyFill="1" applyBorder="1" applyAlignment="1">
      <alignment horizontal="center" vertical="center" wrapText="1"/>
    </xf>
    <xf numFmtId="0" fontId="3" fillId="8" borderId="9" xfId="1" applyFill="1" applyBorder="1" applyAlignment="1">
      <alignment horizontal="center" vertical="center" wrapText="1"/>
    </xf>
    <xf numFmtId="0" fontId="3" fillId="9" borderId="9" xfId="1" applyFill="1" applyBorder="1" applyAlignment="1">
      <alignment horizontal="center" vertical="center" wrapText="1"/>
    </xf>
    <xf numFmtId="0" fontId="3" fillId="10" borderId="9" xfId="1" applyFill="1" applyBorder="1" applyAlignment="1">
      <alignment horizontal="center" vertical="center" wrapText="1"/>
    </xf>
    <xf numFmtId="0" fontId="3" fillId="11" borderId="9" xfId="1" applyFill="1" applyBorder="1" applyAlignment="1">
      <alignment horizontal="center" vertical="center" wrapText="1"/>
    </xf>
    <xf numFmtId="0" fontId="3" fillId="0" borderId="9" xfId="1" applyBorder="1"/>
    <xf numFmtId="0" fontId="15" fillId="0" borderId="0" xfId="1" applyFont="1"/>
    <xf numFmtId="0" fontId="3" fillId="0" borderId="9" xfId="1" applyBorder="1" applyAlignment="1">
      <alignment horizontal="center" vertical="top"/>
    </xf>
    <xf numFmtId="0" fontId="3" fillId="0" borderId="9" xfId="1" applyBorder="1" applyAlignment="1">
      <alignment vertical="top"/>
    </xf>
    <xf numFmtId="0" fontId="3" fillId="0" borderId="0" xfId="1" applyAlignment="1">
      <alignment horizontal="center"/>
    </xf>
    <xf numFmtId="0" fontId="16" fillId="0" borderId="0" xfId="1" applyFont="1"/>
    <xf numFmtId="0" fontId="17" fillId="0" borderId="0" xfId="1" applyFont="1" applyAlignment="1">
      <alignment horizontal="left" vertical="center" indent="2"/>
    </xf>
    <xf numFmtId="0" fontId="18" fillId="0" borderId="0" xfId="1" applyFont="1" applyAlignment="1">
      <alignment horizontal="left" vertical="center" indent="6"/>
    </xf>
    <xf numFmtId="0" fontId="5" fillId="0" borderId="0" xfId="0" applyFont="1"/>
    <xf numFmtId="0" fontId="0" fillId="0" borderId="28" xfId="0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0" fillId="0" borderId="30" xfId="0" applyBorder="1"/>
    <xf numFmtId="0" fontId="0" fillId="0" borderId="26" xfId="0" applyBorder="1"/>
    <xf numFmtId="0" fontId="4" fillId="0" borderId="31" xfId="0" applyFont="1" applyBorder="1" applyAlignment="1">
      <alignment vertical="center" wrapText="1"/>
    </xf>
    <xf numFmtId="0" fontId="10" fillId="0" borderId="11" xfId="0" applyFont="1" applyBorder="1" applyAlignment="1">
      <alignment vertical="center" wrapText="1"/>
    </xf>
    <xf numFmtId="0" fontId="19" fillId="0" borderId="9" xfId="0" applyFont="1" applyBorder="1" applyAlignment="1">
      <alignment horizontal="center" vertical="top" wrapText="1"/>
    </xf>
    <xf numFmtId="0" fontId="0" fillId="0" borderId="9" xfId="0" applyBorder="1" applyAlignment="1">
      <alignment vertical="top" wrapText="1"/>
    </xf>
    <xf numFmtId="0" fontId="0" fillId="0" borderId="0" xfId="0" applyAlignment="1">
      <alignment vertical="top" wrapText="1"/>
    </xf>
    <xf numFmtId="0" fontId="2" fillId="0" borderId="20" xfId="0" applyFont="1" applyBorder="1" applyAlignment="1">
      <alignment vertical="top" wrapText="1"/>
    </xf>
    <xf numFmtId="0" fontId="2" fillId="0" borderId="21" xfId="0" applyFont="1" applyBorder="1" applyAlignment="1">
      <alignment vertical="top" wrapText="1"/>
    </xf>
    <xf numFmtId="0" fontId="2" fillId="0" borderId="16" xfId="0" applyFont="1" applyBorder="1" applyAlignment="1">
      <alignment vertical="top" wrapText="1"/>
    </xf>
    <xf numFmtId="0" fontId="0" fillId="0" borderId="20" xfId="0" applyBorder="1" applyAlignment="1">
      <alignment vertical="top" wrapText="1"/>
    </xf>
    <xf numFmtId="0" fontId="0" fillId="0" borderId="21" xfId="0" applyBorder="1" applyAlignment="1">
      <alignment vertical="top" wrapText="1"/>
    </xf>
    <xf numFmtId="0" fontId="0" fillId="0" borderId="16" xfId="0" applyBorder="1" applyAlignment="1">
      <alignment vertical="top" wrapText="1"/>
    </xf>
    <xf numFmtId="0" fontId="0" fillId="0" borderId="9" xfId="0" applyBorder="1" applyAlignment="1">
      <alignment horizontal="center" vertical="top" wrapText="1"/>
    </xf>
    <xf numFmtId="0" fontId="1" fillId="0" borderId="20" xfId="0" applyFont="1" applyBorder="1" applyAlignment="1">
      <alignment vertical="top" wrapText="1"/>
    </xf>
    <xf numFmtId="0" fontId="2" fillId="0" borderId="25" xfId="0" applyFont="1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1" fillId="0" borderId="21" xfId="0" applyFont="1" applyBorder="1" applyAlignment="1">
      <alignment vertical="top" wrapText="1"/>
    </xf>
    <xf numFmtId="0" fontId="0" fillId="0" borderId="21" xfId="0" quotePrefix="1" applyBorder="1" applyAlignment="1">
      <alignment horizontal="center" vertical="center" wrapText="1"/>
    </xf>
    <xf numFmtId="0" fontId="0" fillId="0" borderId="9" xfId="0" quotePrefix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3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4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0" fillId="0" borderId="11" xfId="0" applyFont="1" applyBorder="1" applyAlignment="1">
      <alignment horizontal="center" vertical="center" wrapText="1"/>
    </xf>
    <xf numFmtId="0" fontId="8" fillId="4" borderId="9" xfId="0" applyFont="1" applyFill="1" applyBorder="1" applyAlignment="1">
      <alignment horizontal="center" vertical="center" wrapText="1"/>
    </xf>
    <xf numFmtId="0" fontId="8" fillId="5" borderId="20" xfId="0" applyFont="1" applyFill="1" applyBorder="1" applyAlignment="1">
      <alignment horizontal="center" vertical="center" wrapText="1"/>
    </xf>
    <xf numFmtId="0" fontId="8" fillId="5" borderId="16" xfId="0" applyFont="1" applyFill="1" applyBorder="1" applyAlignment="1">
      <alignment horizontal="center" vertical="center" wrapText="1"/>
    </xf>
    <xf numFmtId="0" fontId="14" fillId="4" borderId="20" xfId="0" applyFont="1" applyFill="1" applyBorder="1" applyAlignment="1">
      <alignment horizontal="center" vertical="center" wrapText="1"/>
    </xf>
    <xf numFmtId="0" fontId="14" fillId="4" borderId="16" xfId="0" applyFont="1" applyFill="1" applyBorder="1" applyAlignment="1">
      <alignment horizontal="center" vertical="center" wrapText="1"/>
    </xf>
    <xf numFmtId="0" fontId="14" fillId="6" borderId="20" xfId="0" applyFont="1" applyFill="1" applyBorder="1" applyAlignment="1">
      <alignment horizontal="center" vertical="center" wrapText="1"/>
    </xf>
    <xf numFmtId="0" fontId="14" fillId="6" borderId="16" xfId="0" applyFont="1" applyFill="1" applyBorder="1" applyAlignment="1">
      <alignment horizontal="center" vertical="center" wrapText="1"/>
    </xf>
    <xf numFmtId="0" fontId="8" fillId="6" borderId="20" xfId="0" applyFont="1" applyFill="1" applyBorder="1" applyAlignment="1">
      <alignment horizontal="center" vertical="center" wrapText="1"/>
    </xf>
    <xf numFmtId="0" fontId="8" fillId="6" borderId="16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right" vertical="center" wrapText="1"/>
    </xf>
    <xf numFmtId="49" fontId="5" fillId="0" borderId="9" xfId="0" applyNumberFormat="1" applyFont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8" fillId="4" borderId="20" xfId="0" applyFont="1" applyFill="1" applyBorder="1" applyAlignment="1">
      <alignment horizontal="center" vertical="center" wrapText="1"/>
    </xf>
    <xf numFmtId="0" fontId="8" fillId="4" borderId="21" xfId="0" applyFont="1" applyFill="1" applyBorder="1" applyAlignment="1">
      <alignment horizontal="center" vertical="center" wrapText="1"/>
    </xf>
    <xf numFmtId="0" fontId="8" fillId="4" borderId="16" xfId="0" applyFont="1" applyFill="1" applyBorder="1" applyAlignment="1">
      <alignment horizontal="center" vertical="center" wrapText="1"/>
    </xf>
    <xf numFmtId="0" fontId="13" fillId="5" borderId="9" xfId="0" applyFont="1" applyFill="1" applyBorder="1" applyAlignment="1">
      <alignment horizontal="center" vertical="center" wrapText="1"/>
    </xf>
    <xf numFmtId="0" fontId="14" fillId="6" borderId="10" xfId="0" applyFont="1" applyFill="1" applyBorder="1" applyAlignment="1">
      <alignment horizontal="center" vertical="center" wrapText="1"/>
    </xf>
    <xf numFmtId="0" fontId="14" fillId="6" borderId="11" xfId="0" applyFont="1" applyFill="1" applyBorder="1" applyAlignment="1">
      <alignment horizontal="center" vertical="center" wrapText="1"/>
    </xf>
    <xf numFmtId="0" fontId="14" fillId="6" borderId="12" xfId="0" applyFont="1" applyFill="1" applyBorder="1" applyAlignment="1">
      <alignment horizontal="center" vertical="center" wrapText="1"/>
    </xf>
    <xf numFmtId="0" fontId="8" fillId="5" borderId="9" xfId="0" applyFont="1" applyFill="1" applyBorder="1" applyAlignment="1">
      <alignment horizontal="center" vertical="center" wrapText="1"/>
    </xf>
    <xf numFmtId="0" fontId="3" fillId="0" borderId="9" xfId="1" applyBorder="1" applyAlignment="1">
      <alignment horizontal="left" vertical="top" wrapText="1"/>
    </xf>
    <xf numFmtId="0" fontId="3" fillId="0" borderId="9" xfId="1" applyBorder="1" applyAlignment="1">
      <alignment horizontal="center" vertical="top"/>
    </xf>
    <xf numFmtId="0" fontId="3" fillId="0" borderId="9" xfId="1" applyBorder="1" applyAlignment="1">
      <alignment vertical="top" wrapText="1"/>
    </xf>
    <xf numFmtId="0" fontId="15" fillId="0" borderId="9" xfId="1" applyFont="1" applyBorder="1" applyAlignment="1">
      <alignment horizontal="center" vertical="center"/>
    </xf>
    <xf numFmtId="0" fontId="3" fillId="0" borderId="9" xfId="1" applyBorder="1" applyAlignment="1">
      <alignment horizontal="center"/>
    </xf>
    <xf numFmtId="0" fontId="15" fillId="0" borderId="10" xfId="1" applyFont="1" applyBorder="1" applyAlignment="1">
      <alignment horizontal="center"/>
    </xf>
    <xf numFmtId="0" fontId="15" fillId="0" borderId="11" xfId="1" applyFont="1" applyBorder="1" applyAlignment="1">
      <alignment horizontal="center"/>
    </xf>
    <xf numFmtId="0" fontId="15" fillId="0" borderId="12" xfId="1" applyFont="1" applyBorder="1" applyAlignment="1">
      <alignment horizontal="center"/>
    </xf>
    <xf numFmtId="0" fontId="15" fillId="0" borderId="9" xfId="1" applyFont="1" applyBorder="1" applyAlignment="1">
      <alignment horizontal="center"/>
    </xf>
    <xf numFmtId="0" fontId="3" fillId="0" borderId="9" xfId="1" applyBorder="1" applyAlignment="1">
      <alignment horizontal="left" indent="1"/>
    </xf>
    <xf numFmtId="49" fontId="3" fillId="0" borderId="9" xfId="1" applyNumberFormat="1" applyBorder="1" applyAlignment="1">
      <alignment horizontal="center"/>
    </xf>
    <xf numFmtId="0" fontId="3" fillId="9" borderId="9" xfId="1" applyFill="1" applyBorder="1" applyAlignment="1">
      <alignment horizontal="center"/>
    </xf>
    <xf numFmtId="0" fontId="3" fillId="11" borderId="9" xfId="1" applyFill="1" applyBorder="1" applyAlignment="1">
      <alignment horizontal="center"/>
    </xf>
    <xf numFmtId="0" fontId="3" fillId="8" borderId="9" xfId="1" applyFill="1" applyBorder="1" applyAlignment="1">
      <alignment horizontal="center"/>
    </xf>
    <xf numFmtId="0" fontId="3" fillId="10" borderId="9" xfId="1" applyFill="1" applyBorder="1" applyAlignment="1">
      <alignment horizontal="center"/>
    </xf>
    <xf numFmtId="0" fontId="3" fillId="0" borderId="9" xfId="1" applyBorder="1" applyAlignment="1">
      <alignment horizontal="center" vertical="center" textRotation="90"/>
    </xf>
    <xf numFmtId="0" fontId="3" fillId="7" borderId="9" xfId="1" applyFill="1" applyBorder="1" applyAlignment="1">
      <alignment horizontal="center"/>
    </xf>
    <xf numFmtId="0" fontId="3" fillId="0" borderId="9" xfId="1" applyBorder="1" applyAlignment="1">
      <alignment horizontal="center" vertical="center" wrapText="1"/>
    </xf>
    <xf numFmtId="0" fontId="3" fillId="0" borderId="22" xfId="1" applyBorder="1" applyAlignment="1">
      <alignment horizontal="center" vertical="center" wrapText="1"/>
    </xf>
    <xf numFmtId="0" fontId="3" fillId="0" borderId="23" xfId="1" applyBorder="1" applyAlignment="1">
      <alignment horizontal="center" vertical="center" wrapText="1"/>
    </xf>
    <xf numFmtId="0" fontId="3" fillId="0" borderId="24" xfId="1" applyBorder="1" applyAlignment="1">
      <alignment horizontal="center" vertical="center" wrapText="1"/>
    </xf>
    <xf numFmtId="0" fontId="3" fillId="0" borderId="25" xfId="1" applyBorder="1" applyAlignment="1">
      <alignment horizontal="center" vertical="center" wrapText="1"/>
    </xf>
    <xf numFmtId="0" fontId="3" fillId="0" borderId="0" xfId="1" applyAlignment="1">
      <alignment horizontal="center" vertical="center" wrapText="1"/>
    </xf>
    <xf numFmtId="0" fontId="3" fillId="0" borderId="26" xfId="1" applyBorder="1" applyAlignment="1">
      <alignment horizontal="center" vertical="center" wrapText="1"/>
    </xf>
    <xf numFmtId="0" fontId="3" fillId="0" borderId="27" xfId="1" applyBorder="1" applyAlignment="1">
      <alignment horizontal="center" vertical="center" wrapText="1"/>
    </xf>
    <xf numFmtId="0" fontId="3" fillId="0" borderId="28" xfId="1" applyBorder="1" applyAlignment="1">
      <alignment horizontal="center" vertical="center" wrapText="1"/>
    </xf>
    <xf numFmtId="0" fontId="3" fillId="0" borderId="29" xfId="1" applyBorder="1" applyAlignment="1">
      <alignment horizontal="center" vertical="center" wrapText="1"/>
    </xf>
    <xf numFmtId="0" fontId="0" fillId="0" borderId="20" xfId="0" applyBorder="1" applyAlignment="1">
      <alignment horizontal="left" vertical="top" wrapText="1"/>
    </xf>
    <xf numFmtId="0" fontId="0" fillId="0" borderId="21" xfId="0" applyBorder="1" applyAlignment="1">
      <alignment horizontal="left" vertical="top" wrapText="1"/>
    </xf>
    <xf numFmtId="0" fontId="0" fillId="0" borderId="16" xfId="0" applyBorder="1" applyAlignment="1">
      <alignment horizontal="left" vertical="top" wrapText="1"/>
    </xf>
    <xf numFmtId="0" fontId="2" fillId="0" borderId="20" xfId="0" applyFont="1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  <xf numFmtId="0" fontId="0" fillId="0" borderId="16" xfId="0" applyBorder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d-ID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Acceptable Inherent Risk</c:v>
          </c:tx>
          <c:spPr>
            <a:prstGeom prst="rect">
              <a:avLst/>
            </a:prstGeom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Ringkasan!$A$10:$A$14</c:f>
              <c:strCache>
                <c:ptCount val="5"/>
                <c:pt idx="0">
                  <c:v>Data dan Informasi</c:v>
                </c:pt>
                <c:pt idx="1">
                  <c:v>Perangkat Lunak</c:v>
                </c:pt>
                <c:pt idx="2">
                  <c:v>Perangkat Keras</c:v>
                </c:pt>
                <c:pt idx="3">
                  <c:v>Sarana Pendukung</c:v>
                </c:pt>
                <c:pt idx="4">
                  <c:v>SDM &amp; Pihak Ketiga </c:v>
                </c:pt>
              </c:strCache>
            </c:strRef>
          </c:cat>
          <c:val>
            <c:numRef>
              <c:f>Ringkasan!$E$10:$E$14</c:f>
              <c:numCache>
                <c:formatCode>0.00%</c:formatCode>
                <c:ptCount val="5"/>
                <c:pt idx="0">
                  <c:v>0.5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72-4C55-A429-533D56262858}"/>
            </c:ext>
          </c:extLst>
        </c:ser>
        <c:ser>
          <c:idx val="1"/>
          <c:order val="1"/>
          <c:tx>
            <c:v>Acceptable Residual Risk</c:v>
          </c:tx>
          <c:spPr>
            <a:prstGeom prst="rect">
              <a:avLst/>
            </a:prstGeom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0"/>
              </c:ext>
            </c:extLst>
          </c:dLbls>
          <c:cat>
            <c:strRef>
              <c:f>Ringkasan!$A$10:$A$14</c:f>
              <c:strCache>
                <c:ptCount val="5"/>
                <c:pt idx="0">
                  <c:v>Data dan Informasi</c:v>
                </c:pt>
                <c:pt idx="1">
                  <c:v>Perangkat Lunak</c:v>
                </c:pt>
                <c:pt idx="2">
                  <c:v>Perangkat Keras</c:v>
                </c:pt>
                <c:pt idx="3">
                  <c:v>Sarana Pendukung</c:v>
                </c:pt>
                <c:pt idx="4">
                  <c:v>SDM &amp; Pihak Ketiga </c:v>
                </c:pt>
              </c:strCache>
            </c:strRef>
          </c:cat>
          <c:val>
            <c:numRef>
              <c:f>Ringkasan!$H$10:$H$14</c:f>
              <c:numCache>
                <c:formatCode>0.00%</c:formatCode>
                <c:ptCount val="5"/>
                <c:pt idx="0">
                  <c:v>0.5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72-4C55-A429-533D562628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879774783"/>
        <c:axId val="1972615871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v>Acceptable Expected Risk</c:v>
                </c:tx>
                <c:spPr>
                  <a:prstGeom prst="rect">
                    <a:avLst/>
                  </a:prstGeom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pPr xmlns:c15="http://schemas.microsoft.com/office/drawing/2012/chart">
                        <a:prstGeom prst="rect">
                          <a:avLst/>
                        </a:prstGeom>
                      </c15:spPr>
                      <c15:showLeaderLines val="0"/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Ringkasan!$A$10:$A$14</c15:sqref>
                        </c15:formulaRef>
                      </c:ext>
                    </c:extLst>
                    <c:strCache>
                      <c:ptCount val="5"/>
                      <c:pt idx="0">
                        <c:v>Data dan Informasi</c:v>
                      </c:pt>
                      <c:pt idx="1">
                        <c:v>Perangkat Lunak</c:v>
                      </c:pt>
                      <c:pt idx="2">
                        <c:v>Perangkat Keras</c:v>
                      </c:pt>
                      <c:pt idx="3">
                        <c:v>Sarana Pendukung</c:v>
                      </c:pt>
                      <c:pt idx="4">
                        <c:v>SDM &amp; Pihak Ketiga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Ringkasan!#REF!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EB72-4C55-A429-533D56262858}"/>
                  </c:ext>
                </c:extLst>
              </c15:ser>
            </c15:filteredBarSeries>
          </c:ext>
        </c:extLst>
      </c:barChart>
      <c:catAx>
        <c:axId val="1879774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615871"/>
        <c:crosses val="autoZero"/>
        <c:auto val="1"/>
        <c:lblAlgn val="ctr"/>
        <c:lblOffset val="100"/>
        <c:noMultiLvlLbl val="0"/>
      </c:catAx>
      <c:valAx>
        <c:axId val="1972615871"/>
        <c:scaling>
          <c:orientation val="minMax"/>
        </c:scaling>
        <c:delete val="0"/>
        <c:axPos val="l"/>
        <c:majorGridlines>
          <c:spPr>
            <a:prstGeom prst="rect">
              <a:avLst/>
            </a:prstGeom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prstGeom prst="rect">
            <a:avLst/>
          </a:prstGeom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9774783"/>
        <c:crosses val="autoZero"/>
        <c:crossBetween val="between"/>
      </c:valAx>
      <c:spPr>
        <a:prstGeom prst="rect">
          <a:avLst/>
        </a:prstGeom>
        <a:noFill/>
        <a:ln>
          <a:noFill/>
        </a:ln>
        <a:effectLst/>
      </c:spPr>
    </c:plotArea>
    <c:legend>
      <c:legendPos val="b"/>
      <c:overlay val="0"/>
      <c:spPr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xfrm>
      <a:off x="0" y="0"/>
      <a:ext cx="0" cy="0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50800</xdr:colOff>
      <xdr:row>15</xdr:row>
      <xdr:rowOff>177800</xdr:rowOff>
    </xdr:from>
    <xdr:to>
      <xdr:col>8</xdr:col>
      <xdr:colOff>0</xdr:colOff>
      <xdr:row>30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139700</xdr:colOff>
      <xdr:row>0</xdr:row>
      <xdr:rowOff>1</xdr:rowOff>
    </xdr:from>
    <xdr:to>
      <xdr:col>0</xdr:col>
      <xdr:colOff>1003301</xdr:colOff>
      <xdr:row>4</xdr:row>
      <xdr:rowOff>101601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 bwMode="auto">
        <a:xfrm>
          <a:off x="139701" y="1"/>
          <a:ext cx="863599" cy="863599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534207</xdr:colOff>
      <xdr:row>1</xdr:row>
      <xdr:rowOff>26790</xdr:rowOff>
    </xdr:from>
    <xdr:to>
      <xdr:col>2</xdr:col>
      <xdr:colOff>301373</xdr:colOff>
      <xdr:row>1</xdr:row>
      <xdr:rowOff>1561127</xdr:rowOff>
    </xdr:to>
    <xdr:pic>
      <xdr:nvPicPr>
        <xdr:cNvPr id="2" name="Picture 8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534207" y="208219"/>
          <a:ext cx="1451428" cy="1534336"/>
        </a:xfrm>
        <a:prstGeom prst="rect">
          <a:avLst/>
        </a:prstGeom>
        <a:noFill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534207</xdr:colOff>
      <xdr:row>1</xdr:row>
      <xdr:rowOff>26790</xdr:rowOff>
    </xdr:from>
    <xdr:to>
      <xdr:col>2</xdr:col>
      <xdr:colOff>301373</xdr:colOff>
      <xdr:row>1</xdr:row>
      <xdr:rowOff>1561127</xdr:rowOff>
    </xdr:to>
    <xdr:pic>
      <xdr:nvPicPr>
        <xdr:cNvPr id="2" name="Picture 8">
          <a:extLst>
            <a:ext uri="{FF2B5EF4-FFF2-40B4-BE49-F238E27FC236}">
              <a16:creationId xmlns:a16="http://schemas.microsoft.com/office/drawing/2014/main" id="{A9E63F61-25F4-4071-A07A-07A61202BD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534207" y="210940"/>
          <a:ext cx="1449916" cy="1534337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534207</xdr:colOff>
      <xdr:row>1</xdr:row>
      <xdr:rowOff>26790</xdr:rowOff>
    </xdr:from>
    <xdr:to>
      <xdr:col>2</xdr:col>
      <xdr:colOff>301373</xdr:colOff>
      <xdr:row>1</xdr:row>
      <xdr:rowOff>1561127</xdr:rowOff>
    </xdr:to>
    <xdr:pic>
      <xdr:nvPicPr>
        <xdr:cNvPr id="2" name="Picture 8">
          <a:extLst>
            <a:ext uri="{FF2B5EF4-FFF2-40B4-BE49-F238E27FC236}">
              <a16:creationId xmlns:a16="http://schemas.microsoft.com/office/drawing/2014/main" id="{EEF95374-64A7-4740-A484-5DE5E598B3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534207" y="210940"/>
          <a:ext cx="1449916" cy="1534337"/>
        </a:xfrm>
        <a:prstGeom prst="rect">
          <a:avLst/>
        </a:prstGeom>
        <a:noFill/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534207</xdr:colOff>
      <xdr:row>1</xdr:row>
      <xdr:rowOff>26790</xdr:rowOff>
    </xdr:from>
    <xdr:to>
      <xdr:col>2</xdr:col>
      <xdr:colOff>301373</xdr:colOff>
      <xdr:row>1</xdr:row>
      <xdr:rowOff>1561127</xdr:rowOff>
    </xdr:to>
    <xdr:pic>
      <xdr:nvPicPr>
        <xdr:cNvPr id="2" name="Picture 8">
          <a:extLst>
            <a:ext uri="{FF2B5EF4-FFF2-40B4-BE49-F238E27FC236}">
              <a16:creationId xmlns:a16="http://schemas.microsoft.com/office/drawing/2014/main" id="{68417A17-1260-47FA-9E2E-0460B60DA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534207" y="210940"/>
          <a:ext cx="1449916" cy="1534337"/>
        </a:xfrm>
        <a:prstGeom prst="rect">
          <a:avLst/>
        </a:prstGeom>
        <a:noFill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534207</xdr:colOff>
      <xdr:row>1</xdr:row>
      <xdr:rowOff>26790</xdr:rowOff>
    </xdr:from>
    <xdr:to>
      <xdr:col>2</xdr:col>
      <xdr:colOff>301373</xdr:colOff>
      <xdr:row>1</xdr:row>
      <xdr:rowOff>1561127</xdr:rowOff>
    </xdr:to>
    <xdr:pic>
      <xdr:nvPicPr>
        <xdr:cNvPr id="2" name="Picture 8">
          <a:extLst>
            <a:ext uri="{FF2B5EF4-FFF2-40B4-BE49-F238E27FC236}">
              <a16:creationId xmlns:a16="http://schemas.microsoft.com/office/drawing/2014/main" id="{66B98347-D073-47C2-8438-E588F8291A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534207" y="210940"/>
          <a:ext cx="1449916" cy="1534337"/>
        </a:xfrm>
        <a:prstGeom prst="rect">
          <a:avLst/>
        </a:prstGeom>
        <a:noFill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kumen%20Ira\Project\Pertamina%20EP\E:\Documents\Information%20Security\Customers\BEI\2012-01-25%20IRM%20Risk%20Regist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kumen%20Ira\Project\Pertamina%20EP\E:\Documents%20and%20Settings\adinanta\My%20Documents\Downloads\Kumpulan%20threat+vulnerabil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kumen%20Ira\Project\Pertamina%20EP\E:\Proxsis\2012\ISO%2027001%20-%20Pertamina%20SPC\Risk%20Assessment\Konsinyering%20Bandung\DCOC\Information%20Risk%20Update%20DCOC%20Update%2030Jul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threat"/>
      <sheetName val="vulnerabilities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ulnerabilitie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reat"/>
    </sheetNames>
    <sheetDataSet>
      <sheetData sheetId="0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ayu lhaksmi" id="{4C1494D9-780E-0BA8-8843-0A5E1FC337C4}" userId="2037a41e8713c289" providerId="Windows Live"/>
</personList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I4" dT="2025-03-18T07:38:08.75" personId="{4C1494D9-780E-0BA8-8843-0A5E1FC337C4}" id="{6D2FE631-38D4-4C23-B52D-845A621634B2}">
    <text xml:space="preserve">Kontrol Keamanan 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I4" dT="2025-03-18T07:38:08.75" personId="{4C1494D9-780E-0BA8-8843-0A5E1FC337C4}" id="{2696FE58-F749-4EA8-B237-C9ABEF0C5878}">
    <text xml:space="preserve">Kontrol Keamanan 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4" dT="2025-03-18T07:38:08.75" personId="{4C1494D9-780E-0BA8-8843-0A5E1FC337C4}" id="{DB9C38BF-6573-46AD-873F-122B9249B639}">
    <text xml:space="preserve">Kontrol Keamanan 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I4" dT="2025-03-18T07:38:08.75" personId="{4C1494D9-780E-0BA8-8843-0A5E1FC337C4}" id="{8946874D-2696-4CF9-BAF6-029EBCBC719C}">
    <text xml:space="preserve">Kontrol Keamanan 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I4" dT="2025-03-18T07:38:08.75" personId="{4C1494D9-780E-0BA8-8843-0A5E1FC337C4}" id="{55CEE7E2-E175-463C-8510-C5E80E50CD6C}">
    <text xml:space="preserve">Kontrol Keamanan 
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3.xml"/><Relationship Id="rId4" Type="http://schemas.microsoft.com/office/2017/10/relationships/threadedComment" Target="../threadedComments/threadedComment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drawing" Target="../drawings/drawing5.xml"/><Relationship Id="rId4" Type="http://schemas.microsoft.com/office/2017/10/relationships/threadedComment" Target="../threadedComments/threadedComment4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drawing" Target="../drawings/drawing6.xml"/><Relationship Id="rId4" Type="http://schemas.microsoft.com/office/2017/10/relationships/threadedComment" Target="../threadedComments/threadedComment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40"/>
  <sheetViews>
    <sheetView workbookViewId="0">
      <selection activeCell="J38" sqref="J38"/>
    </sheetView>
  </sheetViews>
  <sheetFormatPr defaultColWidth="10.90625" defaultRowHeight="14.5" x14ac:dyDescent="0.35"/>
  <cols>
    <col min="1" max="1" width="18.81640625" customWidth="1"/>
    <col min="2" max="2" width="8.36328125" style="1" customWidth="1"/>
    <col min="3" max="4" width="12" style="1" customWidth="1"/>
    <col min="5" max="5" width="19.1796875" style="1" customWidth="1"/>
    <col min="6" max="6" width="11.1796875" style="2" customWidth="1"/>
    <col min="7" max="7" width="13" style="2" customWidth="1"/>
    <col min="8" max="8" width="14.36328125" style="2" customWidth="1"/>
  </cols>
  <sheetData>
    <row r="1" spans="1:8" ht="15" customHeight="1" x14ac:dyDescent="0.35">
      <c r="A1" s="3"/>
      <c r="B1" s="97" t="s">
        <v>0</v>
      </c>
      <c r="C1" s="98"/>
      <c r="D1" s="98"/>
      <c r="E1" s="98"/>
      <c r="F1" s="99"/>
      <c r="G1" s="4" t="s">
        <v>1</v>
      </c>
      <c r="H1" s="77" t="s">
        <v>2</v>
      </c>
    </row>
    <row r="2" spans="1:8" ht="15" customHeight="1" x14ac:dyDescent="0.35">
      <c r="A2" s="5"/>
      <c r="B2" s="100"/>
      <c r="C2" s="101"/>
      <c r="D2" s="101"/>
      <c r="E2" s="101"/>
      <c r="F2" s="102"/>
      <c r="G2" t="s">
        <v>3</v>
      </c>
      <c r="H2" s="78" t="s">
        <v>2</v>
      </c>
    </row>
    <row r="3" spans="1:8" ht="15" customHeight="1" x14ac:dyDescent="0.35">
      <c r="A3" s="5"/>
      <c r="B3" s="100"/>
      <c r="C3" s="101"/>
      <c r="D3" s="101"/>
      <c r="E3" s="101"/>
      <c r="F3" s="102"/>
      <c r="G3" t="s">
        <v>4</v>
      </c>
      <c r="H3" s="78" t="s">
        <v>2</v>
      </c>
    </row>
    <row r="4" spans="1:8" ht="15" customHeight="1" x14ac:dyDescent="0.35">
      <c r="A4" s="5"/>
      <c r="B4" s="100"/>
      <c r="C4" s="101"/>
      <c r="D4" s="101"/>
      <c r="E4" s="101"/>
      <c r="F4" s="102"/>
      <c r="G4" t="s">
        <v>5</v>
      </c>
      <c r="H4" s="78" t="s">
        <v>6</v>
      </c>
    </row>
    <row r="5" spans="1:8" ht="16" customHeight="1" thickBot="1" x14ac:dyDescent="0.4">
      <c r="A5" s="7"/>
      <c r="B5" s="103"/>
      <c r="C5" s="104"/>
      <c r="D5" s="104"/>
      <c r="E5" s="104"/>
      <c r="F5" s="105"/>
      <c r="G5" s="76"/>
      <c r="H5" s="79"/>
    </row>
    <row r="6" spans="1:8" ht="15" thickTop="1" x14ac:dyDescent="0.35">
      <c r="A6" s="5"/>
    </row>
    <row r="7" spans="1:8" x14ac:dyDescent="0.35">
      <c r="A7" s="8" t="s">
        <v>7</v>
      </c>
    </row>
    <row r="8" spans="1:8" s="9" customFormat="1" ht="27" customHeight="1" x14ac:dyDescent="0.35">
      <c r="A8" s="114" t="s">
        <v>8</v>
      </c>
      <c r="B8" s="116" t="s">
        <v>9</v>
      </c>
      <c r="C8" s="118" t="s">
        <v>10</v>
      </c>
      <c r="D8" s="119"/>
      <c r="E8" s="120"/>
      <c r="F8" s="121" t="s">
        <v>11</v>
      </c>
      <c r="G8" s="121"/>
      <c r="H8" s="121"/>
    </row>
    <row r="9" spans="1:8" s="9" customFormat="1" ht="47" customHeight="1" thickBot="1" x14ac:dyDescent="0.4">
      <c r="A9" s="115"/>
      <c r="B9" s="117"/>
      <c r="C9" s="10" t="s">
        <v>12</v>
      </c>
      <c r="D9" s="10" t="s">
        <v>13</v>
      </c>
      <c r="E9" s="10" t="s">
        <v>14</v>
      </c>
      <c r="F9" s="11" t="s">
        <v>12</v>
      </c>
      <c r="G9" s="11" t="s">
        <v>13</v>
      </c>
      <c r="H9" s="11" t="s">
        <v>15</v>
      </c>
    </row>
    <row r="10" spans="1:8" s="12" customFormat="1" ht="13" thickTop="1" x14ac:dyDescent="0.25">
      <c r="A10" s="13" t="s">
        <v>16</v>
      </c>
      <c r="B10" s="14">
        <f>'Data dan Informasi'!AI12</f>
        <v>2</v>
      </c>
      <c r="C10" s="15">
        <f>'Data dan Informasi'!AG12</f>
        <v>1</v>
      </c>
      <c r="D10" s="15">
        <f>'Data dan Informasi'!AH12</f>
        <v>1</v>
      </c>
      <c r="E10" s="16">
        <f>C10/B10*100%</f>
        <v>0.5</v>
      </c>
      <c r="F10" s="17">
        <f>'Data dan Informasi'!AB12</f>
        <v>1</v>
      </c>
      <c r="G10" s="17">
        <f>'Data dan Informasi'!AC12</f>
        <v>0</v>
      </c>
      <c r="H10" s="18">
        <f t="shared" ref="H10:H14" si="0">F10/B10*100%</f>
        <v>0.5</v>
      </c>
    </row>
    <row r="11" spans="1:8" s="12" customFormat="1" ht="12.5" x14ac:dyDescent="0.25">
      <c r="A11" s="19" t="s">
        <v>17</v>
      </c>
      <c r="B11" s="14">
        <f>'Perangkat Lunak'!AI12</f>
        <v>2</v>
      </c>
      <c r="C11" s="15">
        <f>'Perangkat Lunak'!AG12</f>
        <v>1</v>
      </c>
      <c r="D11" s="15">
        <f>'Perangkat Lunak'!AH12</f>
        <v>1</v>
      </c>
      <c r="E11" s="16">
        <f t="shared" ref="E11:E14" si="1">C11/D11*100%</f>
        <v>1</v>
      </c>
      <c r="F11" s="17">
        <f>'Perangkat Lunak'!AB12</f>
        <v>0</v>
      </c>
      <c r="G11" s="17">
        <f>'Perangkat Lunak'!AC12</f>
        <v>1</v>
      </c>
      <c r="H11" s="20">
        <f t="shared" si="0"/>
        <v>0</v>
      </c>
    </row>
    <row r="12" spans="1:8" s="12" customFormat="1" ht="12.5" x14ac:dyDescent="0.25">
      <c r="A12" s="19" t="s">
        <v>18</v>
      </c>
      <c r="B12" s="14">
        <f>'Perangkat Keras'!AI12</f>
        <v>2</v>
      </c>
      <c r="C12" s="15">
        <f>'Perangkat Keras'!AG12</f>
        <v>1</v>
      </c>
      <c r="D12" s="15">
        <f>'Perangkat Keras'!AH12</f>
        <v>1</v>
      </c>
      <c r="E12" s="16">
        <f t="shared" si="1"/>
        <v>1</v>
      </c>
      <c r="F12" s="17">
        <f>'Perangkat Keras'!AB12</f>
        <v>1</v>
      </c>
      <c r="G12" s="17">
        <f>'Perangkat Keras'!AC12</f>
        <v>0</v>
      </c>
      <c r="H12" s="20">
        <f t="shared" si="0"/>
        <v>0.5</v>
      </c>
    </row>
    <row r="13" spans="1:8" s="12" customFormat="1" ht="12.5" x14ac:dyDescent="0.25">
      <c r="A13" s="19" t="s">
        <v>19</v>
      </c>
      <c r="B13" s="14">
        <f>'Sarana Pendukung'!AI12</f>
        <v>2</v>
      </c>
      <c r="C13" s="15">
        <f>'Sarana Pendukung'!AG12</f>
        <v>1</v>
      </c>
      <c r="D13" s="15">
        <f>'Sarana Pendukung'!AH12</f>
        <v>1</v>
      </c>
      <c r="E13" s="16">
        <f t="shared" si="1"/>
        <v>1</v>
      </c>
      <c r="F13" s="17">
        <f>'Sarana Pendukung'!AB12</f>
        <v>1</v>
      </c>
      <c r="G13" s="17">
        <f>'Sarana Pendukung'!AC12</f>
        <v>0</v>
      </c>
      <c r="H13" s="20">
        <f t="shared" si="0"/>
        <v>0.5</v>
      </c>
    </row>
    <row r="14" spans="1:8" s="12" customFormat="1" ht="12.5" x14ac:dyDescent="0.25">
      <c r="A14" s="19" t="s">
        <v>20</v>
      </c>
      <c r="B14" s="14">
        <f>'Sarana Pendukung'!AI12</f>
        <v>2</v>
      </c>
      <c r="C14" s="15">
        <f>'Sarana Pendukung'!AG12</f>
        <v>1</v>
      </c>
      <c r="D14" s="15">
        <f>'Sarana Pendukung'!AH12</f>
        <v>1</v>
      </c>
      <c r="E14" s="16">
        <f t="shared" si="1"/>
        <v>1</v>
      </c>
      <c r="F14" s="17">
        <f>'Sarana Pendukung'!AB12</f>
        <v>1</v>
      </c>
      <c r="G14" s="17">
        <f>'Sarana Pendukung'!AC12</f>
        <v>0</v>
      </c>
      <c r="H14" s="20">
        <f t="shared" si="0"/>
        <v>0.5</v>
      </c>
    </row>
    <row r="15" spans="1:8" x14ac:dyDescent="0.35">
      <c r="A15" s="5"/>
    </row>
    <row r="16" spans="1:8" x14ac:dyDescent="0.35">
      <c r="A16" s="5"/>
    </row>
    <row r="17" spans="1:1" x14ac:dyDescent="0.35">
      <c r="A17" s="5"/>
    </row>
    <row r="18" spans="1:1" x14ac:dyDescent="0.35">
      <c r="A18" s="5"/>
    </row>
    <row r="19" spans="1:1" x14ac:dyDescent="0.35">
      <c r="A19" s="5"/>
    </row>
    <row r="20" spans="1:1" x14ac:dyDescent="0.35">
      <c r="A20" s="5"/>
    </row>
    <row r="21" spans="1:1" x14ac:dyDescent="0.35">
      <c r="A21" s="5"/>
    </row>
    <row r="22" spans="1:1" x14ac:dyDescent="0.35">
      <c r="A22" s="5"/>
    </row>
    <row r="23" spans="1:1" x14ac:dyDescent="0.35">
      <c r="A23" s="5"/>
    </row>
    <row r="24" spans="1:1" x14ac:dyDescent="0.35">
      <c r="A24" s="5"/>
    </row>
    <row r="25" spans="1:1" x14ac:dyDescent="0.35">
      <c r="A25" s="5"/>
    </row>
    <row r="26" spans="1:1" x14ac:dyDescent="0.35">
      <c r="A26" s="5"/>
    </row>
    <row r="27" spans="1:1" x14ac:dyDescent="0.35">
      <c r="A27" s="5"/>
    </row>
    <row r="28" spans="1:1" x14ac:dyDescent="0.35">
      <c r="A28" s="5"/>
    </row>
    <row r="29" spans="1:1" x14ac:dyDescent="0.35">
      <c r="A29" s="5"/>
    </row>
    <row r="30" spans="1:1" x14ac:dyDescent="0.35">
      <c r="A30" s="5"/>
    </row>
    <row r="31" spans="1:1" x14ac:dyDescent="0.35">
      <c r="A31" s="5"/>
    </row>
    <row r="32" spans="1:1" ht="15" thickBot="1" x14ac:dyDescent="0.4">
      <c r="A32" s="5"/>
    </row>
    <row r="33" spans="1:8" x14ac:dyDescent="0.35">
      <c r="A33" s="5"/>
      <c r="E33" s="106" t="s">
        <v>21</v>
      </c>
      <c r="F33" s="107"/>
      <c r="G33" s="110" t="s">
        <v>22</v>
      </c>
      <c r="H33" s="111"/>
    </row>
    <row r="34" spans="1:8" ht="15" thickBot="1" x14ac:dyDescent="0.4">
      <c r="A34" s="5"/>
      <c r="E34" s="108"/>
      <c r="F34" s="109"/>
      <c r="G34" s="112"/>
      <c r="H34" s="113"/>
    </row>
    <row r="35" spans="1:8" ht="15" customHeight="1" x14ac:dyDescent="0.35">
      <c r="A35" s="5"/>
      <c r="E35" s="22"/>
      <c r="F35" s="6"/>
      <c r="G35"/>
      <c r="H35" s="6"/>
    </row>
    <row r="36" spans="1:8" x14ac:dyDescent="0.35">
      <c r="A36" s="5"/>
      <c r="E36" s="22"/>
      <c r="F36" s="6"/>
      <c r="G36"/>
      <c r="H36" s="6"/>
    </row>
    <row r="37" spans="1:8" x14ac:dyDescent="0.35">
      <c r="A37" s="5"/>
      <c r="E37" s="22"/>
      <c r="F37" s="6"/>
      <c r="G37"/>
      <c r="H37" s="6"/>
    </row>
    <row r="38" spans="1:8" ht="15" thickBot="1" x14ac:dyDescent="0.4">
      <c r="A38" s="5"/>
      <c r="E38" s="21"/>
      <c r="F38" s="26"/>
      <c r="G38" s="27"/>
      <c r="H38" s="26"/>
    </row>
    <row r="39" spans="1:8" x14ac:dyDescent="0.35">
      <c r="A39" s="5"/>
    </row>
    <row r="40" spans="1:8" ht="15" thickBot="1" x14ac:dyDescent="0.4">
      <c r="A40" s="23"/>
      <c r="B40" s="24"/>
      <c r="C40" s="24"/>
      <c r="D40" s="24"/>
      <c r="E40" s="24"/>
      <c r="F40" s="25"/>
      <c r="G40" s="25"/>
      <c r="H40" s="75"/>
    </row>
  </sheetData>
  <mergeCells count="7">
    <mergeCell ref="B1:F5"/>
    <mergeCell ref="E33:F34"/>
    <mergeCell ref="G33:H34"/>
    <mergeCell ref="A8:A9"/>
    <mergeCell ref="B8:B9"/>
    <mergeCell ref="C8:E8"/>
    <mergeCell ref="F8:H8"/>
  </mergeCell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AI12"/>
  <sheetViews>
    <sheetView tabSelected="1" zoomScale="76" zoomScaleNormal="76" workbookViewId="0">
      <selection activeCell="G8" sqref="G8"/>
    </sheetView>
  </sheetViews>
  <sheetFormatPr defaultColWidth="8.81640625" defaultRowHeight="14.5" x14ac:dyDescent="0.35"/>
  <cols>
    <col min="1" max="1" width="8.6328125" style="2" customWidth="1"/>
    <col min="2" max="2" width="15.453125" style="2" customWidth="1"/>
    <col min="3" max="3" width="26.36328125" style="28" customWidth="1"/>
    <col min="4" max="5" width="23.81640625" style="29" customWidth="1"/>
    <col min="6" max="6" width="19.81640625" style="2" customWidth="1"/>
    <col min="7" max="7" width="32" style="29" customWidth="1"/>
    <col min="8" max="8" width="19.36328125" style="2" customWidth="1"/>
    <col min="9" max="9" width="40.6328125" style="29" customWidth="1"/>
    <col min="10" max="10" width="9.1796875" style="2" customWidth="1"/>
    <col min="11" max="11" width="13.81640625" style="2" customWidth="1"/>
    <col min="12" max="12" width="8.1796875" style="2" customWidth="1"/>
    <col min="13" max="13" width="16" style="2" customWidth="1"/>
    <col min="14" max="14" width="16.453125" style="2" customWidth="1"/>
    <col min="15" max="15" width="19.36328125" style="29" customWidth="1"/>
    <col min="16" max="16" width="16.81640625" style="2" customWidth="1"/>
    <col min="17" max="17" width="20.36328125" style="29" customWidth="1"/>
    <col min="18" max="18" width="26.453125" style="29" customWidth="1"/>
    <col min="19" max="19" width="16.1796875" style="29" customWidth="1"/>
    <col min="20" max="20" width="11.6328125" style="29" customWidth="1"/>
    <col min="21" max="21" width="12.453125" style="2" customWidth="1"/>
    <col min="22" max="22" width="9.453125" style="2" customWidth="1"/>
    <col min="23" max="23" width="12.6328125" style="2" customWidth="1"/>
    <col min="24" max="24" width="8" style="2" customWidth="1"/>
    <col min="25" max="25" width="18.1796875" style="2" customWidth="1"/>
    <col min="26" max="26" width="16.1796875" style="2" customWidth="1"/>
    <col min="27" max="27" width="19.1796875" style="29" customWidth="1"/>
    <col min="28" max="31" width="8.81640625" hidden="1" customWidth="1"/>
    <col min="32" max="32" width="18.453125" hidden="1" customWidth="1"/>
    <col min="33" max="34" width="8.81640625" style="30" hidden="1" customWidth="1"/>
    <col min="35" max="35" width="8.81640625" hidden="1" customWidth="1"/>
    <col min="36" max="36" width="8.81640625" customWidth="1"/>
  </cols>
  <sheetData>
    <row r="2" spans="1:35" ht="127.5" customHeight="1" x14ac:dyDescent="0.35">
      <c r="A2" s="31"/>
      <c r="B2" s="80"/>
      <c r="C2" s="80"/>
      <c r="D2" s="125" t="s">
        <v>165</v>
      </c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35" t="s">
        <v>3</v>
      </c>
      <c r="W2" s="135"/>
      <c r="X2" s="32"/>
      <c r="Y2" s="33" t="s">
        <v>23</v>
      </c>
      <c r="Z2" s="34" t="s">
        <v>24</v>
      </c>
      <c r="AA2" s="35"/>
    </row>
    <row r="3" spans="1:35" ht="15" customHeight="1" x14ac:dyDescent="0.35">
      <c r="A3" s="36"/>
      <c r="B3" s="36"/>
      <c r="C3" s="36"/>
      <c r="D3" s="37"/>
      <c r="E3" s="37"/>
      <c r="F3" s="38"/>
      <c r="G3" s="37"/>
      <c r="H3" s="38"/>
      <c r="I3" s="37"/>
      <c r="J3" s="37"/>
      <c r="K3" s="37"/>
      <c r="L3" s="37"/>
      <c r="M3" s="37"/>
      <c r="N3" s="38"/>
      <c r="O3" s="37"/>
      <c r="P3" s="38"/>
      <c r="Q3" s="37"/>
      <c r="R3" s="37"/>
      <c r="S3" s="37"/>
      <c r="T3" s="37"/>
      <c r="U3" s="38"/>
      <c r="V3" s="39"/>
      <c r="W3" s="39"/>
      <c r="X3" s="40"/>
      <c r="Y3" s="40"/>
      <c r="Z3" s="136"/>
      <c r="AA3" s="136"/>
    </row>
    <row r="4" spans="1:35" ht="34" customHeight="1" x14ac:dyDescent="0.35">
      <c r="A4" s="126" t="s">
        <v>25</v>
      </c>
      <c r="B4" s="139" t="s">
        <v>26</v>
      </c>
      <c r="C4" s="142" t="s">
        <v>27</v>
      </c>
      <c r="D4" s="142"/>
      <c r="E4" s="142"/>
      <c r="F4" s="142"/>
      <c r="G4" s="142"/>
      <c r="H4" s="142"/>
      <c r="I4" s="126" t="s">
        <v>28</v>
      </c>
      <c r="J4" s="126" t="s">
        <v>29</v>
      </c>
      <c r="K4" s="126"/>
      <c r="L4" s="126"/>
      <c r="M4" s="126"/>
      <c r="N4" s="137" t="s">
        <v>30</v>
      </c>
      <c r="O4" s="138"/>
      <c r="P4" s="143" t="s">
        <v>31</v>
      </c>
      <c r="Q4" s="144"/>
      <c r="R4" s="144"/>
      <c r="S4" s="144"/>
      <c r="T4" s="144"/>
      <c r="U4" s="145"/>
      <c r="V4" s="126" t="s">
        <v>32</v>
      </c>
      <c r="W4" s="126"/>
      <c r="X4" s="126"/>
      <c r="Y4" s="126"/>
      <c r="Z4" s="126" t="s">
        <v>33</v>
      </c>
      <c r="AA4" s="126" t="s">
        <v>34</v>
      </c>
      <c r="AB4" s="42"/>
      <c r="AC4" s="43"/>
      <c r="AD4" s="43"/>
    </row>
    <row r="5" spans="1:35" ht="29" customHeight="1" x14ac:dyDescent="0.35">
      <c r="A5" s="126"/>
      <c r="B5" s="140"/>
      <c r="C5" s="146" t="s">
        <v>162</v>
      </c>
      <c r="D5" s="127" t="s">
        <v>382</v>
      </c>
      <c r="E5" s="127" t="s">
        <v>383</v>
      </c>
      <c r="F5" s="127" t="s">
        <v>36</v>
      </c>
      <c r="G5" s="127" t="s">
        <v>37</v>
      </c>
      <c r="H5" s="127" t="s">
        <v>38</v>
      </c>
      <c r="I5" s="126"/>
      <c r="J5" s="126"/>
      <c r="K5" s="126"/>
      <c r="L5" s="126"/>
      <c r="M5" s="126"/>
      <c r="N5" s="129" t="s">
        <v>336</v>
      </c>
      <c r="O5" s="129" t="s">
        <v>39</v>
      </c>
      <c r="P5" s="131" t="s">
        <v>40</v>
      </c>
      <c r="Q5" s="131" t="s">
        <v>41</v>
      </c>
      <c r="R5" s="131" t="s">
        <v>42</v>
      </c>
      <c r="S5" s="131" t="s">
        <v>43</v>
      </c>
      <c r="T5" s="44" t="s">
        <v>44</v>
      </c>
      <c r="U5" s="133" t="s">
        <v>164</v>
      </c>
      <c r="V5" s="126" t="s">
        <v>37</v>
      </c>
      <c r="W5" s="126" t="s">
        <v>45</v>
      </c>
      <c r="X5" s="126" t="s">
        <v>46</v>
      </c>
      <c r="Y5" s="126" t="s">
        <v>47</v>
      </c>
      <c r="Z5" s="126"/>
      <c r="AA5" s="126"/>
      <c r="AB5" s="122" t="s">
        <v>48</v>
      </c>
      <c r="AC5" s="123"/>
      <c r="AD5" s="124"/>
    </row>
    <row r="6" spans="1:35" s="30" customFormat="1" ht="31" customHeight="1" x14ac:dyDescent="0.35">
      <c r="A6" s="126"/>
      <c r="B6" s="141"/>
      <c r="C6" s="146"/>
      <c r="D6" s="128"/>
      <c r="E6" s="128"/>
      <c r="F6" s="128"/>
      <c r="G6" s="128"/>
      <c r="H6" s="128"/>
      <c r="I6" s="126"/>
      <c r="J6" s="41" t="s">
        <v>37</v>
      </c>
      <c r="K6" s="41" t="s">
        <v>45</v>
      </c>
      <c r="L6" s="41" t="s">
        <v>49</v>
      </c>
      <c r="M6" s="41" t="s">
        <v>50</v>
      </c>
      <c r="N6" s="130"/>
      <c r="O6" s="130"/>
      <c r="P6" s="132"/>
      <c r="Q6" s="132"/>
      <c r="R6" s="132"/>
      <c r="S6" s="132"/>
      <c r="T6" s="45"/>
      <c r="U6" s="134"/>
      <c r="V6" s="126"/>
      <c r="W6" s="126"/>
      <c r="X6" s="126"/>
      <c r="Y6" s="126"/>
      <c r="Z6" s="126"/>
      <c r="AA6" s="126"/>
      <c r="AB6" s="46" t="s">
        <v>51</v>
      </c>
      <c r="AC6" s="47" t="s">
        <v>52</v>
      </c>
      <c r="AD6" s="47"/>
      <c r="AF6" s="30" t="s">
        <v>53</v>
      </c>
      <c r="AG6" s="30" t="s">
        <v>51</v>
      </c>
      <c r="AH6" s="30" t="s">
        <v>52</v>
      </c>
      <c r="AI6" s="30" t="s">
        <v>54</v>
      </c>
    </row>
    <row r="7" spans="1:35" ht="119" customHeight="1" x14ac:dyDescent="0.35">
      <c r="A7" s="48" t="s">
        <v>55</v>
      </c>
      <c r="B7" s="48" t="s">
        <v>338</v>
      </c>
      <c r="C7" s="50" t="s">
        <v>379</v>
      </c>
      <c r="D7" s="49" t="s">
        <v>380</v>
      </c>
      <c r="E7" s="49" t="s">
        <v>381</v>
      </c>
      <c r="F7" s="48" t="s">
        <v>156</v>
      </c>
      <c r="G7" s="51" t="s">
        <v>384</v>
      </c>
      <c r="H7" s="48" t="s">
        <v>114</v>
      </c>
      <c r="I7" s="49" t="s">
        <v>341</v>
      </c>
      <c r="J7" s="48" t="s">
        <v>76</v>
      </c>
      <c r="K7" s="48" t="s">
        <v>82</v>
      </c>
      <c r="L7" s="48">
        <f>INDEX(RiskMatrix,MATCH(K7,RangeKemungkinan,0),MATCH(J7,RangeDampak,0))</f>
        <v>7</v>
      </c>
      <c r="M7" s="48" t="str">
        <f>INDEX(RiskLevel,MATCH(K7,RangeKemungkinan,0),MATCH(J7,RangeDampak,0))</f>
        <v>Rendah</v>
      </c>
      <c r="N7" s="48" t="s">
        <v>148</v>
      </c>
      <c r="O7" s="49">
        <v>1</v>
      </c>
      <c r="P7" s="48" t="s">
        <v>342</v>
      </c>
      <c r="Q7" s="49" t="s">
        <v>385</v>
      </c>
      <c r="R7" s="49" t="s">
        <v>386</v>
      </c>
      <c r="S7" s="49" t="s">
        <v>345</v>
      </c>
      <c r="T7" s="49" t="s">
        <v>346</v>
      </c>
      <c r="U7" s="48" t="s">
        <v>378</v>
      </c>
      <c r="V7" s="48"/>
      <c r="W7" s="48"/>
      <c r="X7" s="48"/>
      <c r="Y7" s="48"/>
      <c r="Z7" s="51"/>
      <c r="AA7" s="49" t="s">
        <v>387</v>
      </c>
      <c r="AB7">
        <f>IF(Y7="Acceptable",1,0)</f>
        <v>0</v>
      </c>
      <c r="AC7">
        <f>IF(Y7="Not Acceptable",1,0)</f>
        <v>0</v>
      </c>
      <c r="AD7" s="43"/>
      <c r="AF7" s="30" t="str">
        <f>IF(ISNUMBER(L7),IF(L7&gt;=11,"Not Acceptable","Acceptable"),"N/A")</f>
        <v>Acceptable</v>
      </c>
      <c r="AG7" s="30">
        <f t="shared" ref="AG7:AG11" si="0">IF(AF7="Acceptable",1,0)</f>
        <v>1</v>
      </c>
      <c r="AH7" s="30">
        <f t="shared" ref="AH7:AH11" si="1">IF(AF7="Not Acceptable",1,0)</f>
        <v>0</v>
      </c>
    </row>
    <row r="8" spans="1:35" ht="142" customHeight="1" x14ac:dyDescent="0.35">
      <c r="A8" s="48" t="s">
        <v>56</v>
      </c>
      <c r="B8" s="48" t="s">
        <v>338</v>
      </c>
      <c r="C8" s="50" t="s">
        <v>347</v>
      </c>
      <c r="D8" s="49" t="s">
        <v>339</v>
      </c>
      <c r="E8" s="49" t="s">
        <v>349</v>
      </c>
      <c r="F8" s="48" t="s">
        <v>151</v>
      </c>
      <c r="G8" s="51" t="s">
        <v>340</v>
      </c>
      <c r="H8" s="48" t="s">
        <v>114</v>
      </c>
      <c r="I8" s="49" t="s">
        <v>341</v>
      </c>
      <c r="J8" s="48" t="s">
        <v>78</v>
      </c>
      <c r="K8" s="48" t="s">
        <v>82</v>
      </c>
      <c r="L8" s="48">
        <f>INDEX(RiskMatrix,MATCH(K8,RangeKemungkinan,0),MATCH(J8,RangeDampak,0))</f>
        <v>13</v>
      </c>
      <c r="M8" s="48" t="str">
        <f>INDEX(RiskLevel,MATCH(K8,RangeKemungkinan,0),MATCH(J8,RangeDampak,0))</f>
        <v>Sedang</v>
      </c>
      <c r="N8" s="48" t="s">
        <v>148</v>
      </c>
      <c r="O8" s="49"/>
      <c r="P8" s="48" t="s">
        <v>342</v>
      </c>
      <c r="Q8" s="49" t="s">
        <v>343</v>
      </c>
      <c r="R8" s="49" t="s">
        <v>344</v>
      </c>
      <c r="S8" s="49" t="s">
        <v>350</v>
      </c>
      <c r="T8" s="49" t="s">
        <v>346</v>
      </c>
      <c r="U8" s="48" t="s">
        <v>148</v>
      </c>
      <c r="V8" s="48" t="s">
        <v>76</v>
      </c>
      <c r="W8" s="48" t="s">
        <v>82</v>
      </c>
      <c r="X8" s="48">
        <f>IF(U8="Ya",(INDEX(RiskMatrix,MATCH(W8,RangeKemungkinan,0),MATCH(V8,RangeDampak,0))),"N/A")</f>
        <v>7</v>
      </c>
      <c r="Y8" s="48" t="str">
        <f t="shared" ref="Y8:Y11" si="2">IF(ISNUMBER(X8),IF(X8&gt;=11,"Not Acceptable","Acceptable"),"N/A")</f>
        <v>Acceptable</v>
      </c>
      <c r="Z8" s="95" t="s">
        <v>351</v>
      </c>
      <c r="AA8" s="49" t="s">
        <v>352</v>
      </c>
      <c r="AB8">
        <f>IF(Y8="Acceptable",1,0)</f>
        <v>1</v>
      </c>
      <c r="AC8">
        <f>IF(Y8="Not Acceptable",1,0)</f>
        <v>0</v>
      </c>
      <c r="AD8" s="43"/>
      <c r="AF8" s="30" t="str">
        <f>IF(ISNUMBER(L8),IF(L8&gt;=11,"Not Acceptable","Acceptable"),"N/A")</f>
        <v>Not Acceptable</v>
      </c>
      <c r="AG8" s="30">
        <f t="shared" si="0"/>
        <v>0</v>
      </c>
      <c r="AH8" s="30">
        <f t="shared" si="1"/>
        <v>1</v>
      </c>
    </row>
    <row r="9" spans="1:35" ht="44" customHeight="1" x14ac:dyDescent="0.35">
      <c r="A9" s="48" t="s">
        <v>57</v>
      </c>
      <c r="B9" s="48"/>
      <c r="C9" s="50"/>
      <c r="D9" s="49"/>
      <c r="E9" s="49"/>
      <c r="F9" s="48"/>
      <c r="G9" s="51"/>
      <c r="H9" s="48"/>
      <c r="I9" s="49"/>
      <c r="J9" s="48"/>
      <c r="K9" s="48"/>
      <c r="L9" s="48" t="e">
        <f>INDEX(RiskMatrix,MATCH(K9,RangeKemungkinan,0),MATCH(J9,RangeDampak,0))</f>
        <v>#N/A</v>
      </c>
      <c r="M9" s="48" t="e">
        <f>INDEX(RiskLevel,MATCH(K9,RangeKemungkinan,0),MATCH(J9,RangeDampak,0))</f>
        <v>#N/A</v>
      </c>
      <c r="N9" s="48"/>
      <c r="O9" s="49"/>
      <c r="P9" s="48"/>
      <c r="Q9" s="49"/>
      <c r="R9" s="49"/>
      <c r="S9" s="49"/>
      <c r="T9" s="49"/>
      <c r="U9" s="48"/>
      <c r="V9" s="48"/>
      <c r="W9" s="48"/>
      <c r="X9" s="48" t="str">
        <f>IF(U9="Ya",(INDEX(RiskMatrix,MATCH(W9,RangeKemungkinan,0),MATCH(V9,RangeDampak,0))),"N/A")</f>
        <v>N/A</v>
      </c>
      <c r="Y9" s="48" t="str">
        <f t="shared" si="2"/>
        <v>N/A</v>
      </c>
      <c r="Z9" s="51"/>
      <c r="AA9" s="49"/>
      <c r="AB9">
        <f>IF(Y9="Acceptable",1,0)</f>
        <v>0</v>
      </c>
      <c r="AC9">
        <f>IF(Y9="Not Acceptable",1,0)</f>
        <v>0</v>
      </c>
      <c r="AD9" s="43"/>
      <c r="AF9" s="30" t="str">
        <f>IF(ISNUMBER(L9),IF(L9&gt;=11,"Not Acceptable","Acceptable"),"N/A")</f>
        <v>N/A</v>
      </c>
      <c r="AG9" s="30">
        <f t="shared" si="0"/>
        <v>0</v>
      </c>
      <c r="AH9" s="30">
        <f t="shared" si="1"/>
        <v>0</v>
      </c>
    </row>
    <row r="10" spans="1:35" ht="44" customHeight="1" x14ac:dyDescent="0.35">
      <c r="A10" s="48" t="s">
        <v>58</v>
      </c>
      <c r="B10" s="48"/>
      <c r="C10" s="50"/>
      <c r="D10" s="49"/>
      <c r="E10" s="49"/>
      <c r="F10" s="48"/>
      <c r="G10" s="51"/>
      <c r="H10" s="48"/>
      <c r="I10" s="49"/>
      <c r="J10" s="48"/>
      <c r="K10" s="48"/>
      <c r="L10" s="48" t="e">
        <f>INDEX(RiskMatrix,MATCH(K10,RangeKemungkinan,0),MATCH(J10,RangeDampak,0))</f>
        <v>#N/A</v>
      </c>
      <c r="M10" s="48" t="e">
        <f>INDEX(RiskLevel,MATCH(K10,RangeKemungkinan,0),MATCH(J10,RangeDampak,0))</f>
        <v>#N/A</v>
      </c>
      <c r="N10" s="48"/>
      <c r="O10" s="49"/>
      <c r="P10" s="48"/>
      <c r="Q10" s="49"/>
      <c r="R10" s="49"/>
      <c r="S10" s="49"/>
      <c r="T10" s="49"/>
      <c r="U10" s="48"/>
      <c r="V10" s="48"/>
      <c r="W10" s="48"/>
      <c r="X10" s="48" t="str">
        <f>IF(U10="Ya",(INDEX(RiskMatrix,MATCH(W10,RangeKemungkinan,0),MATCH(V10,RangeDampak,0))),"N/A")</f>
        <v>N/A</v>
      </c>
      <c r="Y10" s="48" t="str">
        <f t="shared" si="2"/>
        <v>N/A</v>
      </c>
      <c r="Z10" s="51"/>
      <c r="AA10" s="49"/>
      <c r="AB10">
        <f>IF(Y10="Acceptable",1,0)</f>
        <v>0</v>
      </c>
      <c r="AC10">
        <f>IF(Y10="Not Acceptable",1,0)</f>
        <v>0</v>
      </c>
      <c r="AD10" s="43"/>
      <c r="AF10" s="30" t="str">
        <f>IF(ISNUMBER(L10),IF(L10&gt;=11,"Not Acceptable","Acceptable"),"N/A")</f>
        <v>N/A</v>
      </c>
      <c r="AG10" s="30">
        <f t="shared" si="0"/>
        <v>0</v>
      </c>
      <c r="AH10" s="30">
        <f t="shared" si="1"/>
        <v>0</v>
      </c>
    </row>
    <row r="11" spans="1:35" ht="44" customHeight="1" x14ac:dyDescent="0.35">
      <c r="A11" s="48" t="s">
        <v>59</v>
      </c>
      <c r="B11" s="48"/>
      <c r="C11" s="50"/>
      <c r="D11" s="49"/>
      <c r="E11" s="49"/>
      <c r="F11" s="48"/>
      <c r="G11" s="51"/>
      <c r="H11" s="48"/>
      <c r="I11" s="49"/>
      <c r="J11" s="48"/>
      <c r="K11" s="48"/>
      <c r="L11" s="48" t="e">
        <f>INDEX(RiskMatrix,MATCH(K11,RangeKemungkinan,0),MATCH(J11,RangeDampak,0))</f>
        <v>#N/A</v>
      </c>
      <c r="M11" s="48" t="e">
        <f>INDEX(RiskLevel,MATCH(K11,RangeKemungkinan,0),MATCH(J11,RangeDampak,0))</f>
        <v>#N/A</v>
      </c>
      <c r="N11" s="48"/>
      <c r="O11" s="49"/>
      <c r="P11" s="48"/>
      <c r="Q11" s="49"/>
      <c r="R11" s="49"/>
      <c r="S11" s="49"/>
      <c r="T11" s="49"/>
      <c r="U11" s="48"/>
      <c r="V11" s="48"/>
      <c r="W11" s="48"/>
      <c r="X11" s="48" t="str">
        <f>IF(U11="Ya",(INDEX(RiskMatrix,MATCH(W11,RangeKemungkinan,0),MATCH(V11,RangeDampak,0))),"N/A")</f>
        <v>N/A</v>
      </c>
      <c r="Y11" s="48" t="str">
        <f t="shared" si="2"/>
        <v>N/A</v>
      </c>
      <c r="Z11" s="51"/>
      <c r="AA11" s="49"/>
      <c r="AB11">
        <f>IF(Y11="Acceptable",1,0)</f>
        <v>0</v>
      </c>
      <c r="AC11">
        <f>IF(Y11="Not Acceptable",1,0)</f>
        <v>0</v>
      </c>
      <c r="AD11" s="43"/>
      <c r="AF11" s="30" t="str">
        <f>IF(ISNUMBER(L11),IF(L11&gt;=11,"Not Acceptable","Acceptable"),"N/A")</f>
        <v>N/A</v>
      </c>
      <c r="AG11" s="30">
        <f t="shared" si="0"/>
        <v>0</v>
      </c>
      <c r="AH11" s="30">
        <f t="shared" si="1"/>
        <v>0</v>
      </c>
    </row>
    <row r="12" spans="1:35" x14ac:dyDescent="0.35">
      <c r="AB12">
        <f>SUM(AB7:AB11)</f>
        <v>1</v>
      </c>
      <c r="AC12">
        <f>SUM(AC7:AC11)</f>
        <v>0</v>
      </c>
      <c r="AG12" s="30">
        <f>SUM(AG7:AG11)</f>
        <v>1</v>
      </c>
      <c r="AH12" s="30">
        <f>SUM(AH7:AH11)</f>
        <v>1</v>
      </c>
      <c r="AI12">
        <f>SUM(AG12:AH12)</f>
        <v>2</v>
      </c>
    </row>
  </sheetData>
  <mergeCells count="31">
    <mergeCell ref="P4:U4"/>
    <mergeCell ref="V4:Y4"/>
    <mergeCell ref="Z4:Z6"/>
    <mergeCell ref="C5:C6"/>
    <mergeCell ref="D5:D6"/>
    <mergeCell ref="E5:E6"/>
    <mergeCell ref="F5:F6"/>
    <mergeCell ref="G5:G6"/>
    <mergeCell ref="X5:X6"/>
    <mergeCell ref="Y5:Y6"/>
    <mergeCell ref="A4:A6"/>
    <mergeCell ref="B4:B6"/>
    <mergeCell ref="C4:H4"/>
    <mergeCell ref="I4:I6"/>
    <mergeCell ref="J4:M5"/>
    <mergeCell ref="AB5:AD5"/>
    <mergeCell ref="D2:U2"/>
    <mergeCell ref="AA4:AA6"/>
    <mergeCell ref="H5:H6"/>
    <mergeCell ref="N5:N6"/>
    <mergeCell ref="O5:O6"/>
    <mergeCell ref="P5:P6"/>
    <mergeCell ref="Q5:Q6"/>
    <mergeCell ref="R5:R6"/>
    <mergeCell ref="S5:S6"/>
    <mergeCell ref="U5:U6"/>
    <mergeCell ref="V5:V6"/>
    <mergeCell ref="W5:W6"/>
    <mergeCell ref="V2:W2"/>
    <mergeCell ref="Z3:AA3"/>
    <mergeCell ref="N4:O4"/>
  </mergeCells>
  <dataValidations count="6">
    <dataValidation type="list" allowBlank="1" showInputMessage="1" showErrorMessage="1" sqref="B7:B11" xr:uid="{005A0062-00E6-47B1-9D29-002400800056}">
      <formula1>"Positif, Negatif"</formula1>
    </dataValidation>
    <dataValidation type="list" allowBlank="1" showInputMessage="1" showErrorMessage="1" sqref="N7:N11 U7:U11" xr:uid="{009F0092-00B2-4B6C-999A-00E6004E0004}">
      <formula1>"Ya, Tidak"</formula1>
    </dataValidation>
    <dataValidation type="list" allowBlank="1" showInputMessage="1" showErrorMessage="1" sqref="P7:P11" xr:uid="{00A30075-0079-4292-A6A5-006800AB00C3}">
      <formula1>"Eskalasi Risiko, Mitigasi Risiko, Transfer Risiko, Penghindaran Risiko, Penerimaan Risiko"</formula1>
    </dataValidation>
    <dataValidation type="list" allowBlank="1" showInputMessage="1" showErrorMessage="1" sqref="H7:H11" xr:uid="{00660020-0033-4C10-AE43-0070000C0077}">
      <formula1>"Finansial, Reputasi, Kinerja, Layanan Organisasi, Operasional dan Aset TIK, Hukum dan Regulasi, SDM"</formula1>
    </dataValidation>
    <dataValidation type="list" allowBlank="1" showInputMessage="1" showErrorMessage="1" sqref="J7:J11 V7:V11" xr:uid="{002F00BF-0041-462B-ABFA-00DF004400B3}">
      <formula1>"Tidak Signifikan, Kurang Signifikan, Cukup Signifikan, Signifikan, Sangat Signifikan"</formula1>
    </dataValidation>
    <dataValidation type="list" allowBlank="1" showInputMessage="1" showErrorMessage="1" sqref="K7:K11 W7:W11" xr:uid="{001B009A-0035-4758-8E12-00A300A6008F}">
      <formula1>"Hampir Tidak Terjadi, Jarang Terjadi, Kadang-Kadang Terjadi, Sering Terjadi, Hampir Pasti Terjadi"</formula1>
    </dataValidation>
  </dataValidations>
  <pageMargins left="0.70866141732283461" right="0.70866141732283461" top="0.74803149606299213" bottom="0.74803149606299213" header="0.31496062992125984" footer="0.31496062992125984"/>
  <pageSetup paperSize="9" scale="23" orientation="landscape"/>
  <headerFooter>
    <oddFooter>&amp;LFRM-I.1.7/002 Daftar Resiko Keamanan Informasi - Information Aset&amp;CHalaman &amp;P dari &amp;N</oddFooter>
  </headerFooter>
  <rowBreaks count="1" manualBreakCount="1">
    <brk id="11" max="18" man="1"/>
  </rowBreaks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A495DBF-2BF7-44B6-B603-4FA02D00EEA2}">
          <x14:formula1>
            <xm:f>'List Kategori Risiko Keamanan'!$A$2:$A$13</xm:f>
          </x14:formula1>
          <xm:sqref>F1 F3:F1048576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BFE9-7361-420F-8241-AD225857AF6A}">
  <dimension ref="A2:AI12"/>
  <sheetViews>
    <sheetView topLeftCell="A3" zoomScale="75" zoomScaleNormal="75" workbookViewId="0">
      <selection activeCell="E7" sqref="E7"/>
    </sheetView>
  </sheetViews>
  <sheetFormatPr defaultColWidth="8.81640625" defaultRowHeight="14.5" x14ac:dyDescent="0.35"/>
  <cols>
    <col min="1" max="1" width="8.6328125" style="2" customWidth="1"/>
    <col min="2" max="2" width="15.453125" style="2" customWidth="1"/>
    <col min="3" max="3" width="26.36328125" style="28" customWidth="1"/>
    <col min="4" max="5" width="23.81640625" style="29" customWidth="1"/>
    <col min="6" max="6" width="19.81640625" style="2" customWidth="1"/>
    <col min="7" max="7" width="32" style="29" customWidth="1"/>
    <col min="8" max="8" width="19.36328125" style="2" customWidth="1"/>
    <col min="9" max="9" width="40.6328125" style="29" customWidth="1"/>
    <col min="10" max="10" width="9.1796875" style="2" customWidth="1"/>
    <col min="11" max="11" width="13.81640625" style="2" customWidth="1"/>
    <col min="12" max="12" width="8.1796875" style="2" customWidth="1"/>
    <col min="13" max="13" width="16" style="2" customWidth="1"/>
    <col min="14" max="14" width="16.453125" style="2" customWidth="1"/>
    <col min="15" max="15" width="19.36328125" style="29" customWidth="1"/>
    <col min="16" max="16" width="16.81640625" style="2" customWidth="1"/>
    <col min="17" max="17" width="20.36328125" style="29" customWidth="1"/>
    <col min="18" max="18" width="26.453125" style="29" customWidth="1"/>
    <col min="19" max="19" width="16.1796875" style="29" customWidth="1"/>
    <col min="20" max="20" width="11.6328125" style="29" customWidth="1"/>
    <col min="21" max="21" width="12.453125" style="2" customWidth="1"/>
    <col min="22" max="22" width="9.453125" style="2" customWidth="1"/>
    <col min="23" max="23" width="12.6328125" style="2" customWidth="1"/>
    <col min="24" max="24" width="8" style="2" customWidth="1"/>
    <col min="25" max="25" width="18.1796875" style="2" customWidth="1"/>
    <col min="26" max="26" width="16.1796875" style="2" customWidth="1"/>
    <col min="27" max="27" width="19.1796875" style="29" customWidth="1"/>
    <col min="28" max="31" width="8.81640625" hidden="1" customWidth="1"/>
    <col min="32" max="32" width="18.453125" hidden="1" customWidth="1"/>
    <col min="33" max="34" width="8.81640625" style="30" hidden="1" customWidth="1"/>
    <col min="35" max="35" width="8.81640625" hidden="1" customWidth="1"/>
    <col min="36" max="36" width="8.81640625" customWidth="1"/>
  </cols>
  <sheetData>
    <row r="2" spans="1:35" ht="127.5" customHeight="1" x14ac:dyDescent="0.35">
      <c r="A2" s="31"/>
      <c r="B2" s="80"/>
      <c r="C2" s="80"/>
      <c r="D2" s="125" t="s">
        <v>60</v>
      </c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35" t="s">
        <v>3</v>
      </c>
      <c r="W2" s="135"/>
      <c r="X2" s="32"/>
      <c r="Y2" s="33" t="s">
        <v>23</v>
      </c>
      <c r="Z2" s="34" t="s">
        <v>24</v>
      </c>
      <c r="AA2" s="35"/>
    </row>
    <row r="3" spans="1:35" ht="15" customHeight="1" x14ac:dyDescent="0.35">
      <c r="A3" s="36"/>
      <c r="B3" s="36"/>
      <c r="C3" s="36"/>
      <c r="D3" s="37"/>
      <c r="E3" s="37"/>
      <c r="F3" s="38"/>
      <c r="G3" s="37"/>
      <c r="H3" s="38"/>
      <c r="I3" s="37"/>
      <c r="J3" s="37"/>
      <c r="K3" s="37"/>
      <c r="L3" s="37"/>
      <c r="M3" s="37"/>
      <c r="N3" s="38"/>
      <c r="O3" s="37"/>
      <c r="P3" s="38"/>
      <c r="Q3" s="37"/>
      <c r="R3" s="37"/>
      <c r="S3" s="37"/>
      <c r="T3" s="37"/>
      <c r="U3" s="38"/>
      <c r="V3" s="39"/>
      <c r="W3" s="39"/>
      <c r="X3" s="40"/>
      <c r="Y3" s="40"/>
      <c r="Z3" s="136"/>
      <c r="AA3" s="136"/>
    </row>
    <row r="4" spans="1:35" ht="34" customHeight="1" x14ac:dyDescent="0.35">
      <c r="A4" s="126" t="s">
        <v>25</v>
      </c>
      <c r="B4" s="139" t="s">
        <v>26</v>
      </c>
      <c r="C4" s="142" t="s">
        <v>27</v>
      </c>
      <c r="D4" s="142"/>
      <c r="E4" s="142"/>
      <c r="F4" s="142"/>
      <c r="G4" s="142"/>
      <c r="H4" s="142"/>
      <c r="I4" s="126" t="s">
        <v>28</v>
      </c>
      <c r="J4" s="126" t="s">
        <v>29</v>
      </c>
      <c r="K4" s="126"/>
      <c r="L4" s="126"/>
      <c r="M4" s="126"/>
      <c r="N4" s="137" t="s">
        <v>30</v>
      </c>
      <c r="O4" s="138"/>
      <c r="P4" s="143" t="s">
        <v>31</v>
      </c>
      <c r="Q4" s="144"/>
      <c r="R4" s="144"/>
      <c r="S4" s="144"/>
      <c r="T4" s="144"/>
      <c r="U4" s="145"/>
      <c r="V4" s="126" t="s">
        <v>32</v>
      </c>
      <c r="W4" s="126"/>
      <c r="X4" s="126"/>
      <c r="Y4" s="126"/>
      <c r="Z4" s="126" t="s">
        <v>33</v>
      </c>
      <c r="AA4" s="126" t="s">
        <v>34</v>
      </c>
      <c r="AB4" s="42"/>
      <c r="AC4" s="43"/>
      <c r="AD4" s="43"/>
    </row>
    <row r="5" spans="1:35" ht="29" customHeight="1" x14ac:dyDescent="0.35">
      <c r="A5" s="126"/>
      <c r="B5" s="140"/>
      <c r="C5" s="146" t="s">
        <v>162</v>
      </c>
      <c r="D5" s="127" t="s">
        <v>35</v>
      </c>
      <c r="E5" s="127" t="s">
        <v>163</v>
      </c>
      <c r="F5" s="127" t="s">
        <v>36</v>
      </c>
      <c r="G5" s="127" t="s">
        <v>37</v>
      </c>
      <c r="H5" s="127" t="s">
        <v>38</v>
      </c>
      <c r="I5" s="126"/>
      <c r="J5" s="126"/>
      <c r="K5" s="126"/>
      <c r="L5" s="126"/>
      <c r="M5" s="126"/>
      <c r="N5" s="129" t="s">
        <v>337</v>
      </c>
      <c r="O5" s="129" t="s">
        <v>39</v>
      </c>
      <c r="P5" s="131" t="s">
        <v>40</v>
      </c>
      <c r="Q5" s="131" t="s">
        <v>41</v>
      </c>
      <c r="R5" s="131" t="s">
        <v>42</v>
      </c>
      <c r="S5" s="131" t="s">
        <v>43</v>
      </c>
      <c r="T5" s="44" t="s">
        <v>44</v>
      </c>
      <c r="U5" s="133" t="s">
        <v>164</v>
      </c>
      <c r="V5" s="126" t="s">
        <v>37</v>
      </c>
      <c r="W5" s="126" t="s">
        <v>45</v>
      </c>
      <c r="X5" s="126" t="s">
        <v>46</v>
      </c>
      <c r="Y5" s="126" t="s">
        <v>47</v>
      </c>
      <c r="Z5" s="126"/>
      <c r="AA5" s="126"/>
      <c r="AB5" s="122" t="s">
        <v>48</v>
      </c>
      <c r="AC5" s="123"/>
      <c r="AD5" s="124"/>
    </row>
    <row r="6" spans="1:35" s="30" customFormat="1" ht="31" customHeight="1" x14ac:dyDescent="0.35">
      <c r="A6" s="126"/>
      <c r="B6" s="141"/>
      <c r="C6" s="146"/>
      <c r="D6" s="128"/>
      <c r="E6" s="128"/>
      <c r="F6" s="128"/>
      <c r="G6" s="128"/>
      <c r="H6" s="128"/>
      <c r="I6" s="126"/>
      <c r="J6" s="41" t="s">
        <v>37</v>
      </c>
      <c r="K6" s="41" t="s">
        <v>45</v>
      </c>
      <c r="L6" s="41" t="s">
        <v>49</v>
      </c>
      <c r="M6" s="41" t="s">
        <v>50</v>
      </c>
      <c r="N6" s="130"/>
      <c r="O6" s="130"/>
      <c r="P6" s="132"/>
      <c r="Q6" s="132"/>
      <c r="R6" s="132"/>
      <c r="S6" s="132"/>
      <c r="T6" s="45"/>
      <c r="U6" s="134"/>
      <c r="V6" s="126"/>
      <c r="W6" s="126"/>
      <c r="X6" s="126"/>
      <c r="Y6" s="126"/>
      <c r="Z6" s="126"/>
      <c r="AA6" s="126"/>
      <c r="AB6" s="46" t="s">
        <v>51</v>
      </c>
      <c r="AC6" s="47" t="s">
        <v>52</v>
      </c>
      <c r="AD6" s="47"/>
      <c r="AF6" s="30" t="s">
        <v>53</v>
      </c>
      <c r="AG6" s="30" t="s">
        <v>51</v>
      </c>
      <c r="AH6" s="30" t="s">
        <v>52</v>
      </c>
      <c r="AI6" s="30" t="s">
        <v>54</v>
      </c>
    </row>
    <row r="7" spans="1:35" ht="119" customHeight="1" x14ac:dyDescent="0.35">
      <c r="A7" s="48" t="s">
        <v>61</v>
      </c>
      <c r="B7" s="48" t="s">
        <v>338</v>
      </c>
      <c r="C7" s="50" t="s">
        <v>348</v>
      </c>
      <c r="D7" s="49" t="s">
        <v>353</v>
      </c>
      <c r="E7" s="49" t="s">
        <v>354</v>
      </c>
      <c r="F7" s="48" t="s">
        <v>152</v>
      </c>
      <c r="G7" s="51" t="s">
        <v>355</v>
      </c>
      <c r="H7" s="48" t="s">
        <v>356</v>
      </c>
      <c r="I7" s="49" t="s">
        <v>341</v>
      </c>
      <c r="J7" s="48" t="s">
        <v>78</v>
      </c>
      <c r="K7" s="48" t="s">
        <v>84</v>
      </c>
      <c r="L7" s="48">
        <f>INDEX(RiskMatrix,MATCH(K7,RangeKemungkinan,0),MATCH(J7,RangeDampak,0))</f>
        <v>19</v>
      </c>
      <c r="M7" s="48" t="str">
        <f>INDEX(RiskLevel,MATCH(K7,RangeKemungkinan,0),MATCH(J7,RangeDampak,0))</f>
        <v>Tinggi</v>
      </c>
      <c r="N7" s="48" t="s">
        <v>148</v>
      </c>
      <c r="O7" s="49">
        <v>1</v>
      </c>
      <c r="P7" s="48" t="s">
        <v>342</v>
      </c>
      <c r="Q7" s="49" t="s">
        <v>357</v>
      </c>
      <c r="R7" s="49" t="s">
        <v>358</v>
      </c>
      <c r="S7" s="49" t="s">
        <v>359</v>
      </c>
      <c r="T7" s="49" t="s">
        <v>360</v>
      </c>
      <c r="U7" s="48" t="s">
        <v>148</v>
      </c>
      <c r="V7" s="48" t="s">
        <v>77</v>
      </c>
      <c r="W7" s="48" t="s">
        <v>83</v>
      </c>
      <c r="X7" s="48">
        <f>IF(U7="Ya",(INDEX(RiskMatrix,MATCH(W7,RangeKemungkinan,0),MATCH(V7,RangeDampak,0))),"N/A")</f>
        <v>14</v>
      </c>
      <c r="Y7" s="48" t="str">
        <f>IF(ISNUMBER(X7),IF(X7&gt;=11,"Not Acceptable","Acceptable"),"N/A")</f>
        <v>Not Acceptable</v>
      </c>
      <c r="Z7" s="51" t="s">
        <v>361</v>
      </c>
      <c r="AA7" s="49" t="s">
        <v>352</v>
      </c>
      <c r="AB7">
        <f>IF(Y7="Acceptable",1,0)</f>
        <v>0</v>
      </c>
      <c r="AC7">
        <f>IF(Y7="Not Acceptable",1,0)</f>
        <v>1</v>
      </c>
      <c r="AD7" s="43"/>
      <c r="AF7" s="30" t="str">
        <f>IF(ISNUMBER(L7),IF(L7&gt;=11,"Not Acceptable","Acceptable"),"N/A")</f>
        <v>Not Acceptable</v>
      </c>
      <c r="AG7" s="30">
        <f t="shared" ref="AG7:AG11" si="0">IF(AF7="Acceptable",1,0)</f>
        <v>0</v>
      </c>
      <c r="AH7" s="30">
        <f t="shared" ref="AH7:AH11" si="1">IF(AF7="Not Acceptable",1,0)</f>
        <v>1</v>
      </c>
    </row>
    <row r="8" spans="1:35" ht="142" customHeight="1" x14ac:dyDescent="0.35">
      <c r="A8" s="48" t="s">
        <v>62</v>
      </c>
      <c r="B8" s="48"/>
      <c r="C8" s="50"/>
      <c r="D8" s="49"/>
      <c r="E8" s="49"/>
      <c r="F8" s="48"/>
      <c r="G8" s="51"/>
      <c r="H8" s="48"/>
      <c r="I8" s="49"/>
      <c r="J8" s="48" t="s">
        <v>76</v>
      </c>
      <c r="K8" s="48" t="s">
        <v>81</v>
      </c>
      <c r="L8" s="48">
        <f>INDEX(RiskMatrix,MATCH(K8,RangeKemungkinan,0),MATCH(J8,RangeDampak,0))</f>
        <v>3</v>
      </c>
      <c r="M8" s="48" t="str">
        <f>INDEX(RiskLevel,MATCH(K8,RangeKemungkinan,0),MATCH(J8,RangeDampak,0))</f>
        <v>Rendah</v>
      </c>
      <c r="N8" s="48"/>
      <c r="O8" s="49"/>
      <c r="P8" s="48"/>
      <c r="Q8" s="49"/>
      <c r="R8" s="49"/>
      <c r="S8" s="49"/>
      <c r="T8" s="49"/>
      <c r="U8" s="48"/>
      <c r="V8" s="48"/>
      <c r="W8" s="48"/>
      <c r="X8" s="48" t="str">
        <f>IF(U8="Ya",(INDEX(RiskMatrix,MATCH(W8,RangeKemungkinan,0),MATCH(V8,RangeDampak,0))),"N/A")</f>
        <v>N/A</v>
      </c>
      <c r="Y8" s="48" t="str">
        <f t="shared" ref="Y8:Y11" si="2">IF(ISNUMBER(X8),IF(X8&gt;=11,"Not Acceptable","Acceptable"),"N/A")</f>
        <v>N/A</v>
      </c>
      <c r="Z8"/>
      <c r="AA8" s="49"/>
      <c r="AB8">
        <f>IF(Y8="Acceptable",1,0)</f>
        <v>0</v>
      </c>
      <c r="AC8">
        <f>IF(Y8="Not Acceptable",1,0)</f>
        <v>0</v>
      </c>
      <c r="AD8" s="43"/>
      <c r="AF8" s="30" t="str">
        <f>IF(ISNUMBER(L8),IF(L8&gt;=11,"Not Acceptable","Acceptable"),"N/A")</f>
        <v>Acceptable</v>
      </c>
      <c r="AG8" s="30">
        <f t="shared" si="0"/>
        <v>1</v>
      </c>
      <c r="AH8" s="30">
        <f t="shared" si="1"/>
        <v>0</v>
      </c>
    </row>
    <row r="9" spans="1:35" ht="44" customHeight="1" x14ac:dyDescent="0.35">
      <c r="A9" s="48" t="s">
        <v>63</v>
      </c>
      <c r="B9" s="48"/>
      <c r="C9" s="50"/>
      <c r="D9" s="49"/>
      <c r="E9" s="49"/>
      <c r="F9" s="48"/>
      <c r="G9" s="51"/>
      <c r="H9" s="48"/>
      <c r="I9" s="49"/>
      <c r="J9" s="48"/>
      <c r="K9" s="48"/>
      <c r="L9" s="48" t="e">
        <f>INDEX(RiskMatrix,MATCH(K9,RangeKemungkinan,0),MATCH(J9,RangeDampak,0))</f>
        <v>#N/A</v>
      </c>
      <c r="M9" s="48" t="e">
        <f>INDEX(RiskLevel,MATCH(K9,RangeKemungkinan,0),MATCH(J9,RangeDampak,0))</f>
        <v>#N/A</v>
      </c>
      <c r="N9" s="48"/>
      <c r="O9" s="49"/>
      <c r="P9" s="48"/>
      <c r="Q9" s="49"/>
      <c r="R9" s="49"/>
      <c r="S9" s="49"/>
      <c r="T9" s="49"/>
      <c r="U9" s="48"/>
      <c r="V9" s="48"/>
      <c r="W9" s="48"/>
      <c r="X9" s="48" t="str">
        <f>IF(U9="Ya",(INDEX(RiskMatrix,MATCH(W9,RangeKemungkinan,0),MATCH(V9,RangeDampak,0))),"N/A")</f>
        <v>N/A</v>
      </c>
      <c r="Y9" s="48" t="str">
        <f t="shared" si="2"/>
        <v>N/A</v>
      </c>
      <c r="Z9" s="51"/>
      <c r="AA9" s="49"/>
      <c r="AB9">
        <f>IF(Y9="Acceptable",1,0)</f>
        <v>0</v>
      </c>
      <c r="AC9">
        <f>IF(Y9="Not Acceptable",1,0)</f>
        <v>0</v>
      </c>
      <c r="AD9" s="43"/>
      <c r="AF9" s="30" t="str">
        <f>IF(ISNUMBER(L9),IF(L9&gt;=11,"Not Acceptable","Acceptable"),"N/A")</f>
        <v>N/A</v>
      </c>
      <c r="AG9" s="30">
        <f t="shared" si="0"/>
        <v>0</v>
      </c>
      <c r="AH9" s="30">
        <f t="shared" si="1"/>
        <v>0</v>
      </c>
    </row>
    <row r="10" spans="1:35" ht="44" customHeight="1" x14ac:dyDescent="0.35">
      <c r="A10" s="48" t="s">
        <v>64</v>
      </c>
      <c r="B10" s="48"/>
      <c r="C10" s="50"/>
      <c r="D10" s="49"/>
      <c r="E10" s="49"/>
      <c r="F10" s="48"/>
      <c r="G10" s="51"/>
      <c r="H10" s="48"/>
      <c r="I10" s="49"/>
      <c r="J10" s="48"/>
      <c r="K10" s="48"/>
      <c r="L10" s="48" t="e">
        <f>INDEX(RiskMatrix,MATCH(K10,RangeKemungkinan,0),MATCH(J10,RangeDampak,0))</f>
        <v>#N/A</v>
      </c>
      <c r="M10" s="48" t="e">
        <f>INDEX(RiskLevel,MATCH(K10,RangeKemungkinan,0),MATCH(J10,RangeDampak,0))</f>
        <v>#N/A</v>
      </c>
      <c r="N10" s="48"/>
      <c r="O10" s="49"/>
      <c r="P10" s="48"/>
      <c r="Q10" s="49"/>
      <c r="R10" s="49"/>
      <c r="S10" s="49"/>
      <c r="T10" s="49"/>
      <c r="U10" s="48"/>
      <c r="V10" s="48"/>
      <c r="W10" s="48"/>
      <c r="X10" s="48" t="str">
        <f>IF(U10="Ya",(INDEX(RiskMatrix,MATCH(W10,RangeKemungkinan,0),MATCH(V10,RangeDampak,0))),"N/A")</f>
        <v>N/A</v>
      </c>
      <c r="Y10" s="48" t="str">
        <f t="shared" si="2"/>
        <v>N/A</v>
      </c>
      <c r="Z10" s="51"/>
      <c r="AA10" s="49"/>
      <c r="AB10">
        <f>IF(Y10="Acceptable",1,0)</f>
        <v>0</v>
      </c>
      <c r="AC10">
        <f>IF(Y10="Not Acceptable",1,0)</f>
        <v>0</v>
      </c>
      <c r="AD10" s="43"/>
      <c r="AF10" s="30" t="str">
        <f>IF(ISNUMBER(L10),IF(L10&gt;=11,"Not Acceptable","Acceptable"),"N/A")</f>
        <v>N/A</v>
      </c>
      <c r="AG10" s="30">
        <f t="shared" si="0"/>
        <v>0</v>
      </c>
      <c r="AH10" s="30">
        <f t="shared" si="1"/>
        <v>0</v>
      </c>
    </row>
    <row r="11" spans="1:35" ht="44" customHeight="1" x14ac:dyDescent="0.35">
      <c r="A11" s="48" t="s">
        <v>65</v>
      </c>
      <c r="B11" s="48"/>
      <c r="C11" s="50"/>
      <c r="D11" s="49"/>
      <c r="E11" s="49"/>
      <c r="F11" s="48"/>
      <c r="G11" s="51"/>
      <c r="H11" s="48"/>
      <c r="I11" s="49"/>
      <c r="J11" s="48"/>
      <c r="K11" s="48"/>
      <c r="L11" s="48" t="e">
        <f>INDEX(RiskMatrix,MATCH(K11,RangeKemungkinan,0),MATCH(J11,RangeDampak,0))</f>
        <v>#N/A</v>
      </c>
      <c r="M11" s="48" t="e">
        <f>INDEX(RiskLevel,MATCH(K11,RangeKemungkinan,0),MATCH(J11,RangeDampak,0))</f>
        <v>#N/A</v>
      </c>
      <c r="N11" s="48"/>
      <c r="O11" s="49"/>
      <c r="P11" s="48"/>
      <c r="Q11" s="49"/>
      <c r="R11" s="49"/>
      <c r="S11" s="49"/>
      <c r="T11" s="49"/>
      <c r="U11" s="48"/>
      <c r="V11" s="48"/>
      <c r="W11" s="48"/>
      <c r="X11" s="48" t="str">
        <f>IF(U11="Ya",(INDEX(RiskMatrix,MATCH(W11,RangeKemungkinan,0),MATCH(V11,RangeDampak,0))),"N/A")</f>
        <v>N/A</v>
      </c>
      <c r="Y11" s="48" t="str">
        <f t="shared" si="2"/>
        <v>N/A</v>
      </c>
      <c r="Z11" s="51"/>
      <c r="AA11" s="49"/>
      <c r="AB11">
        <f>IF(Y11="Acceptable",1,0)</f>
        <v>0</v>
      </c>
      <c r="AC11">
        <f>IF(Y11="Not Acceptable",1,0)</f>
        <v>0</v>
      </c>
      <c r="AD11" s="43"/>
      <c r="AF11" s="30" t="str">
        <f>IF(ISNUMBER(L11),IF(L11&gt;=11,"Not Acceptable","Acceptable"),"N/A")</f>
        <v>N/A</v>
      </c>
      <c r="AG11" s="30">
        <f t="shared" si="0"/>
        <v>0</v>
      </c>
      <c r="AH11" s="30">
        <f t="shared" si="1"/>
        <v>0</v>
      </c>
    </row>
    <row r="12" spans="1:35" x14ac:dyDescent="0.35">
      <c r="AB12">
        <f>SUM(AB7:AB11)</f>
        <v>0</v>
      </c>
      <c r="AC12">
        <f>SUM(AC7:AC11)</f>
        <v>1</v>
      </c>
      <c r="AG12" s="30">
        <f>SUM(AG7:AG11)</f>
        <v>1</v>
      </c>
      <c r="AH12" s="30">
        <f>SUM(AH7:AH11)</f>
        <v>1</v>
      </c>
      <c r="AI12">
        <f>SUM(AG12:AH12)</f>
        <v>2</v>
      </c>
    </row>
  </sheetData>
  <mergeCells count="31">
    <mergeCell ref="D2:U2"/>
    <mergeCell ref="V2:W2"/>
    <mergeCell ref="Z3:AA3"/>
    <mergeCell ref="A4:A6"/>
    <mergeCell ref="B4:B6"/>
    <mergeCell ref="C4:H4"/>
    <mergeCell ref="I4:I6"/>
    <mergeCell ref="J4:M5"/>
    <mergeCell ref="N4:O4"/>
    <mergeCell ref="P4:U4"/>
    <mergeCell ref="U5:U6"/>
    <mergeCell ref="V4:Y4"/>
    <mergeCell ref="Z4:Z6"/>
    <mergeCell ref="AA4:AA6"/>
    <mergeCell ref="C5:C6"/>
    <mergeCell ref="D5:D6"/>
    <mergeCell ref="E5:E6"/>
    <mergeCell ref="F5:F6"/>
    <mergeCell ref="G5:G6"/>
    <mergeCell ref="H5:H6"/>
    <mergeCell ref="N5:N6"/>
    <mergeCell ref="O5:O6"/>
    <mergeCell ref="P5:P6"/>
    <mergeCell ref="Q5:Q6"/>
    <mergeCell ref="R5:R6"/>
    <mergeCell ref="S5:S6"/>
    <mergeCell ref="V5:V6"/>
    <mergeCell ref="W5:W6"/>
    <mergeCell ref="X5:X6"/>
    <mergeCell ref="Y5:Y6"/>
    <mergeCell ref="AB5:AD5"/>
  </mergeCells>
  <dataValidations count="6">
    <dataValidation type="list" allowBlank="1" showInputMessage="1" showErrorMessage="1" sqref="K7:K11 W7:W11" xr:uid="{2E1CD832-5169-4DCD-B092-725849ECB9CB}">
      <formula1>"Hampir Tidak Terjadi, Jarang Terjadi, Kadang-Kadang Terjadi, Sering Terjadi, Hampir Pasti Terjadi"</formula1>
    </dataValidation>
    <dataValidation type="list" allowBlank="1" showInputMessage="1" showErrorMessage="1" sqref="J7:J11 V7:V11" xr:uid="{E0CE9836-BF67-4C89-A917-AE3B72FBE6A6}">
      <formula1>"Tidak Signifikan, Kurang Signifikan, Cukup Signifikan, Signifikan, Sangat Signifikan"</formula1>
    </dataValidation>
    <dataValidation type="list" allowBlank="1" showInputMessage="1" showErrorMessage="1" sqref="H7:H11" xr:uid="{D83039C9-A0BE-47B7-9CAA-A63B2E159293}">
      <formula1>"Finansial, Reputasi, Kinerja, Layanan Organisasi, Operasional dan Aset TIK, Hukum dan Regulasi, SDM"</formula1>
    </dataValidation>
    <dataValidation type="list" allowBlank="1" showInputMessage="1" showErrorMessage="1" sqref="P7:P11" xr:uid="{9D138851-6CB7-4363-9FA3-9098976D10E9}">
      <formula1>"Eskalasi Risiko, Mitigasi Risiko, Transfer Risiko, Penghindaran Risiko, Penerimaan Risiko"</formula1>
    </dataValidation>
    <dataValidation type="list" allowBlank="1" showInputMessage="1" showErrorMessage="1" sqref="N7:N11 U7:U11" xr:uid="{C5FF50B8-36B5-4A16-916C-2E7BA1F0D825}">
      <formula1>"Ya, Tidak"</formula1>
    </dataValidation>
    <dataValidation type="list" allowBlank="1" showInputMessage="1" showErrorMessage="1" sqref="B7:B11" xr:uid="{16DAC63A-A611-4C66-9BC7-EB076FEBA731}">
      <formula1>"Positif, Negatif"</formula1>
    </dataValidation>
  </dataValidations>
  <pageMargins left="0.70866141732283461" right="0.70866141732283461" top="0.74803149606299213" bottom="0.74803149606299213" header="0.31496062992125984" footer="0.31496062992125984"/>
  <pageSetup paperSize="9" scale="23" orientation="landscape"/>
  <headerFooter>
    <oddFooter>&amp;LFRM-I.1.7/002 Daftar Resiko Keamanan Informasi - Information Aset&amp;CHalaman &amp;P dari &amp;N</oddFooter>
  </headerFooter>
  <rowBreaks count="1" manualBreakCount="1">
    <brk id="11" max="18" man="1"/>
  </rowBreaks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230C680-3D71-484D-AA86-ABE7B44E02AC}">
          <x14:formula1>
            <xm:f>'List Kategori Risiko Keamanan'!$A$2:$A$13</xm:f>
          </x14:formula1>
          <xm:sqref>F1 F3:F1048576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EC473-3CB8-40AE-96D9-11FDB14E0660}">
  <dimension ref="A2:AI12"/>
  <sheetViews>
    <sheetView topLeftCell="K7" zoomScale="75" zoomScaleNormal="75" workbookViewId="0">
      <selection activeCell="A8" sqref="A8"/>
    </sheetView>
  </sheetViews>
  <sheetFormatPr defaultColWidth="8.81640625" defaultRowHeight="14.5" x14ac:dyDescent="0.35"/>
  <cols>
    <col min="1" max="1" width="8.6328125" style="2" customWidth="1"/>
    <col min="2" max="2" width="15.453125" style="2" customWidth="1"/>
    <col min="3" max="3" width="26.36328125" style="28" customWidth="1"/>
    <col min="4" max="5" width="23.81640625" style="29" customWidth="1"/>
    <col min="6" max="6" width="19.81640625" style="2" customWidth="1"/>
    <col min="7" max="7" width="32" style="29" customWidth="1"/>
    <col min="8" max="8" width="19.36328125" style="2" customWidth="1"/>
    <col min="9" max="9" width="40.6328125" style="29" customWidth="1"/>
    <col min="10" max="10" width="9.1796875" style="2" customWidth="1"/>
    <col min="11" max="11" width="13.81640625" style="2" customWidth="1"/>
    <col min="12" max="12" width="8.1796875" style="2" customWidth="1"/>
    <col min="13" max="13" width="16" style="2" customWidth="1"/>
    <col min="14" max="14" width="16.453125" style="2" customWidth="1"/>
    <col min="15" max="15" width="19.36328125" style="29" customWidth="1"/>
    <col min="16" max="16" width="16.81640625" style="2" customWidth="1"/>
    <col min="17" max="17" width="20.36328125" style="29" customWidth="1"/>
    <col min="18" max="18" width="26.453125" style="29" customWidth="1"/>
    <col min="19" max="19" width="16.1796875" style="29" customWidth="1"/>
    <col min="20" max="20" width="11.6328125" style="29" customWidth="1"/>
    <col min="21" max="21" width="12.453125" style="2" customWidth="1"/>
    <col min="22" max="22" width="9.453125" style="2" customWidth="1"/>
    <col min="23" max="23" width="12.6328125" style="2" customWidth="1"/>
    <col min="24" max="24" width="8" style="2" customWidth="1"/>
    <col min="25" max="25" width="18.1796875" style="2" customWidth="1"/>
    <col min="26" max="26" width="16.1796875" style="2" customWidth="1"/>
    <col min="27" max="27" width="19.1796875" style="29" customWidth="1"/>
    <col min="28" max="31" width="8.81640625" hidden="1" customWidth="1"/>
    <col min="32" max="32" width="18.453125" hidden="1" customWidth="1"/>
    <col min="33" max="34" width="8.81640625" style="30" hidden="1" customWidth="1"/>
    <col min="35" max="35" width="8.81640625" hidden="1" customWidth="1"/>
    <col min="36" max="36" width="8.81640625" customWidth="1"/>
  </cols>
  <sheetData>
    <row r="2" spans="1:35" ht="127.5" customHeight="1" x14ac:dyDescent="0.35">
      <c r="A2" s="31"/>
      <c r="B2" s="80"/>
      <c r="C2" s="80"/>
      <c r="D2" s="125" t="s">
        <v>66</v>
      </c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35" t="s">
        <v>3</v>
      </c>
      <c r="W2" s="135"/>
      <c r="X2" s="32"/>
      <c r="Y2" s="33" t="s">
        <v>23</v>
      </c>
      <c r="Z2" s="34" t="s">
        <v>24</v>
      </c>
      <c r="AA2" s="35"/>
    </row>
    <row r="3" spans="1:35" ht="15" customHeight="1" x14ac:dyDescent="0.35">
      <c r="A3" s="36"/>
      <c r="B3" s="36"/>
      <c r="C3" s="36"/>
      <c r="D3" s="37"/>
      <c r="E3" s="37"/>
      <c r="F3" s="38"/>
      <c r="G3" s="37"/>
      <c r="H3" s="38"/>
      <c r="I3" s="37"/>
      <c r="J3" s="37"/>
      <c r="K3" s="37"/>
      <c r="L3" s="37"/>
      <c r="M3" s="37"/>
      <c r="N3" s="38"/>
      <c r="O3" s="37"/>
      <c r="P3" s="38"/>
      <c r="Q3" s="37"/>
      <c r="R3" s="37"/>
      <c r="S3" s="37"/>
      <c r="T3" s="37"/>
      <c r="U3" s="38"/>
      <c r="V3" s="39"/>
      <c r="W3" s="39"/>
      <c r="X3" s="40"/>
      <c r="Y3" s="40"/>
      <c r="Z3" s="136"/>
      <c r="AA3" s="136"/>
    </row>
    <row r="4" spans="1:35" ht="34" customHeight="1" x14ac:dyDescent="0.35">
      <c r="A4" s="126" t="s">
        <v>25</v>
      </c>
      <c r="B4" s="139" t="s">
        <v>26</v>
      </c>
      <c r="C4" s="142" t="s">
        <v>27</v>
      </c>
      <c r="D4" s="142"/>
      <c r="E4" s="142"/>
      <c r="F4" s="142"/>
      <c r="G4" s="142"/>
      <c r="H4" s="142"/>
      <c r="I4" s="126" t="s">
        <v>28</v>
      </c>
      <c r="J4" s="126" t="s">
        <v>29</v>
      </c>
      <c r="K4" s="126"/>
      <c r="L4" s="126"/>
      <c r="M4" s="126"/>
      <c r="N4" s="137" t="s">
        <v>30</v>
      </c>
      <c r="O4" s="138"/>
      <c r="P4" s="143" t="s">
        <v>31</v>
      </c>
      <c r="Q4" s="144"/>
      <c r="R4" s="144"/>
      <c r="S4" s="144"/>
      <c r="T4" s="144"/>
      <c r="U4" s="145"/>
      <c r="V4" s="126" t="s">
        <v>32</v>
      </c>
      <c r="W4" s="126"/>
      <c r="X4" s="126"/>
      <c r="Y4" s="126"/>
      <c r="Z4" s="126" t="s">
        <v>33</v>
      </c>
      <c r="AA4" s="126" t="s">
        <v>34</v>
      </c>
      <c r="AB4" s="42"/>
      <c r="AC4" s="43"/>
      <c r="AD4" s="43"/>
    </row>
    <row r="5" spans="1:35" ht="29" customHeight="1" x14ac:dyDescent="0.35">
      <c r="A5" s="126"/>
      <c r="B5" s="140"/>
      <c r="C5" s="146" t="s">
        <v>162</v>
      </c>
      <c r="D5" s="127" t="s">
        <v>35</v>
      </c>
      <c r="E5" s="127" t="s">
        <v>163</v>
      </c>
      <c r="F5" s="127" t="s">
        <v>36</v>
      </c>
      <c r="G5" s="127" t="s">
        <v>37</v>
      </c>
      <c r="H5" s="127" t="s">
        <v>38</v>
      </c>
      <c r="I5" s="126"/>
      <c r="J5" s="126"/>
      <c r="K5" s="126"/>
      <c r="L5" s="126"/>
      <c r="M5" s="126"/>
      <c r="N5" s="129" t="s">
        <v>337</v>
      </c>
      <c r="O5" s="129" t="s">
        <v>39</v>
      </c>
      <c r="P5" s="131" t="s">
        <v>40</v>
      </c>
      <c r="Q5" s="131" t="s">
        <v>41</v>
      </c>
      <c r="R5" s="131" t="s">
        <v>42</v>
      </c>
      <c r="S5" s="131" t="s">
        <v>43</v>
      </c>
      <c r="T5" s="44" t="s">
        <v>44</v>
      </c>
      <c r="U5" s="133" t="s">
        <v>164</v>
      </c>
      <c r="V5" s="126" t="s">
        <v>37</v>
      </c>
      <c r="W5" s="126" t="s">
        <v>45</v>
      </c>
      <c r="X5" s="126" t="s">
        <v>46</v>
      </c>
      <c r="Y5" s="126" t="s">
        <v>47</v>
      </c>
      <c r="Z5" s="126"/>
      <c r="AA5" s="126"/>
      <c r="AB5" s="122" t="s">
        <v>48</v>
      </c>
      <c r="AC5" s="123"/>
      <c r="AD5" s="124"/>
    </row>
    <row r="6" spans="1:35" s="30" customFormat="1" ht="31" customHeight="1" x14ac:dyDescent="0.35">
      <c r="A6" s="126"/>
      <c r="B6" s="141"/>
      <c r="C6" s="146"/>
      <c r="D6" s="128"/>
      <c r="E6" s="128"/>
      <c r="F6" s="128"/>
      <c r="G6" s="128"/>
      <c r="H6" s="128"/>
      <c r="I6" s="126"/>
      <c r="J6" s="41" t="s">
        <v>37</v>
      </c>
      <c r="K6" s="41" t="s">
        <v>45</v>
      </c>
      <c r="L6" s="41" t="s">
        <v>49</v>
      </c>
      <c r="M6" s="41" t="s">
        <v>50</v>
      </c>
      <c r="N6" s="130"/>
      <c r="O6" s="130"/>
      <c r="P6" s="132"/>
      <c r="Q6" s="132"/>
      <c r="R6" s="132"/>
      <c r="S6" s="132"/>
      <c r="T6" s="45"/>
      <c r="U6" s="134"/>
      <c r="V6" s="126"/>
      <c r="W6" s="126"/>
      <c r="X6" s="126"/>
      <c r="Y6" s="126"/>
      <c r="Z6" s="126"/>
      <c r="AA6" s="126"/>
      <c r="AB6" s="46" t="s">
        <v>51</v>
      </c>
      <c r="AC6" s="47" t="s">
        <v>52</v>
      </c>
      <c r="AD6" s="47"/>
      <c r="AF6" s="30" t="s">
        <v>53</v>
      </c>
      <c r="AG6" s="30" t="s">
        <v>51</v>
      </c>
      <c r="AH6" s="30" t="s">
        <v>52</v>
      </c>
      <c r="AI6" s="30" t="s">
        <v>54</v>
      </c>
    </row>
    <row r="7" spans="1:35" ht="119" customHeight="1" x14ac:dyDescent="0.35">
      <c r="A7" s="48" t="s">
        <v>67</v>
      </c>
      <c r="B7" s="48" t="s">
        <v>338</v>
      </c>
      <c r="C7" s="50" t="s">
        <v>362</v>
      </c>
      <c r="D7" s="49" t="s">
        <v>363</v>
      </c>
      <c r="E7" s="49" t="s">
        <v>364</v>
      </c>
      <c r="F7" s="48" t="s">
        <v>158</v>
      </c>
      <c r="G7" s="51" t="s">
        <v>365</v>
      </c>
      <c r="H7" s="48" t="s">
        <v>356</v>
      </c>
      <c r="I7" s="49" t="s">
        <v>366</v>
      </c>
      <c r="J7" s="48" t="s">
        <v>78</v>
      </c>
      <c r="K7" s="48" t="s">
        <v>82</v>
      </c>
      <c r="L7" s="48">
        <f>INDEX(RiskMatrix,MATCH(K7,RangeKemungkinan,0),MATCH(J7,RangeDampak,0))</f>
        <v>13</v>
      </c>
      <c r="M7" s="48" t="str">
        <f>INDEX(RiskLevel,MATCH(K7,RangeKemungkinan,0),MATCH(J7,RangeDampak,0))</f>
        <v>Sedang</v>
      </c>
      <c r="N7" s="48" t="s">
        <v>148</v>
      </c>
      <c r="O7" s="49">
        <v>1</v>
      </c>
      <c r="P7" s="48" t="s">
        <v>342</v>
      </c>
      <c r="Q7" s="49" t="s">
        <v>367</v>
      </c>
      <c r="R7" s="49" t="s">
        <v>368</v>
      </c>
      <c r="S7" s="49" t="s">
        <v>369</v>
      </c>
      <c r="T7" s="49" t="s">
        <v>360</v>
      </c>
      <c r="U7" s="48" t="s">
        <v>148</v>
      </c>
      <c r="V7" s="48" t="s">
        <v>76</v>
      </c>
      <c r="W7" s="48" t="s">
        <v>81</v>
      </c>
      <c r="X7" s="48">
        <f>IF(U7="Ya",(INDEX(RiskMatrix,MATCH(W7,RangeKemungkinan,0),MATCH(V7,RangeDampak,0))),"N/A")</f>
        <v>3</v>
      </c>
      <c r="Y7" s="48" t="str">
        <f>IF(ISNUMBER(X7),IF(X7&gt;=11,"Not Acceptable","Acceptable"),"N/A")</f>
        <v>Acceptable</v>
      </c>
      <c r="Z7" s="96" t="s">
        <v>351</v>
      </c>
      <c r="AA7" s="49" t="s">
        <v>370</v>
      </c>
      <c r="AB7">
        <f>IF(Y7="Acceptable",1,0)</f>
        <v>1</v>
      </c>
      <c r="AC7">
        <f>IF(Y7="Not Acceptable",1,0)</f>
        <v>0</v>
      </c>
      <c r="AD7" s="43"/>
      <c r="AF7" s="30" t="str">
        <f>IF(ISNUMBER(L7),IF(L7&gt;=11,"Not Acceptable","Acceptable"),"N/A")</f>
        <v>Not Acceptable</v>
      </c>
      <c r="AG7" s="30">
        <f t="shared" ref="AG7:AG11" si="0">IF(AF7="Acceptable",1,0)</f>
        <v>0</v>
      </c>
      <c r="AH7" s="30">
        <f t="shared" ref="AH7:AH11" si="1">IF(AF7="Not Acceptable",1,0)</f>
        <v>1</v>
      </c>
    </row>
    <row r="8" spans="1:35" ht="142" customHeight="1" x14ac:dyDescent="0.35">
      <c r="A8" s="48" t="s">
        <v>68</v>
      </c>
      <c r="B8" s="48"/>
      <c r="C8" s="50"/>
      <c r="D8" s="49" t="s">
        <v>377</v>
      </c>
      <c r="E8" s="49"/>
      <c r="F8" s="48"/>
      <c r="G8" s="51"/>
      <c r="H8" s="48"/>
      <c r="I8" s="49"/>
      <c r="J8" s="48" t="s">
        <v>76</v>
      </c>
      <c r="K8" s="48" t="s">
        <v>81</v>
      </c>
      <c r="L8" s="48">
        <f>INDEX(RiskMatrix,MATCH(K8,RangeKemungkinan,0),MATCH(J8,RangeDampak,0))</f>
        <v>3</v>
      </c>
      <c r="M8" s="48" t="str">
        <f>INDEX(RiskLevel,MATCH(K8,RangeKemungkinan,0),MATCH(J8,RangeDampak,0))</f>
        <v>Rendah</v>
      </c>
      <c r="N8" s="48"/>
      <c r="O8" s="49"/>
      <c r="P8" s="48"/>
      <c r="Q8" s="49"/>
      <c r="R8" s="49"/>
      <c r="S8" s="49"/>
      <c r="T8" s="49"/>
      <c r="U8" s="48"/>
      <c r="V8" s="48"/>
      <c r="W8" s="48"/>
      <c r="X8" s="48" t="str">
        <f>IF(U8="Ya",(INDEX(RiskMatrix,MATCH(W8,RangeKemungkinan,0),MATCH(V8,RangeDampak,0))),"N/A")</f>
        <v>N/A</v>
      </c>
      <c r="Y8" s="48" t="str">
        <f t="shared" ref="Y8:Y11" si="2">IF(ISNUMBER(X8),IF(X8&gt;=11,"Not Acceptable","Acceptable"),"N/A")</f>
        <v>N/A</v>
      </c>
      <c r="Z8"/>
      <c r="AA8" s="49"/>
      <c r="AB8">
        <f>IF(Y8="Acceptable",1,0)</f>
        <v>0</v>
      </c>
      <c r="AC8">
        <f>IF(Y8="Not Acceptable",1,0)</f>
        <v>0</v>
      </c>
      <c r="AD8" s="43"/>
      <c r="AF8" s="30" t="str">
        <f>IF(ISNUMBER(L8),IF(L8&gt;=11,"Not Acceptable","Acceptable"),"N/A")</f>
        <v>Acceptable</v>
      </c>
      <c r="AG8" s="30">
        <f t="shared" si="0"/>
        <v>1</v>
      </c>
      <c r="AH8" s="30">
        <f t="shared" si="1"/>
        <v>0</v>
      </c>
    </row>
    <row r="9" spans="1:35" ht="44" customHeight="1" x14ac:dyDescent="0.35">
      <c r="A9" s="48" t="s">
        <v>69</v>
      </c>
      <c r="B9" s="48"/>
      <c r="C9" s="50"/>
      <c r="D9" s="49"/>
      <c r="E9" s="49"/>
      <c r="F9" s="48"/>
      <c r="G9" s="51"/>
      <c r="H9" s="48"/>
      <c r="I9" s="49"/>
      <c r="J9" s="48"/>
      <c r="K9" s="48"/>
      <c r="L9" s="48" t="e">
        <f>INDEX(RiskMatrix,MATCH(K9,RangeKemungkinan,0),MATCH(J9,RangeDampak,0))</f>
        <v>#N/A</v>
      </c>
      <c r="M9" s="48" t="e">
        <f>INDEX(RiskLevel,MATCH(K9,RangeKemungkinan,0),MATCH(J9,RangeDampak,0))</f>
        <v>#N/A</v>
      </c>
      <c r="N9" s="48"/>
      <c r="O9" s="49"/>
      <c r="P9" s="48"/>
      <c r="Q9" s="49"/>
      <c r="R9" s="49"/>
      <c r="S9" s="49"/>
      <c r="T9" s="49"/>
      <c r="U9" s="48"/>
      <c r="V9" s="48"/>
      <c r="W9" s="48"/>
      <c r="X9" s="48" t="str">
        <f>IF(U9="Ya",(INDEX(RiskMatrix,MATCH(W9,RangeKemungkinan,0),MATCH(V9,RangeDampak,0))),"N/A")</f>
        <v>N/A</v>
      </c>
      <c r="Y9" s="48" t="str">
        <f t="shared" si="2"/>
        <v>N/A</v>
      </c>
      <c r="Z9" s="51"/>
      <c r="AA9" s="49"/>
      <c r="AB9">
        <f>IF(Y9="Acceptable",1,0)</f>
        <v>0</v>
      </c>
      <c r="AC9">
        <f>IF(Y9="Not Acceptable",1,0)</f>
        <v>0</v>
      </c>
      <c r="AD9" s="43"/>
      <c r="AF9" s="30" t="str">
        <f>IF(ISNUMBER(L9),IF(L9&gt;=11,"Not Acceptable","Acceptable"),"N/A")</f>
        <v>N/A</v>
      </c>
      <c r="AG9" s="30">
        <f t="shared" si="0"/>
        <v>0</v>
      </c>
      <c r="AH9" s="30">
        <f t="shared" si="1"/>
        <v>0</v>
      </c>
    </row>
    <row r="10" spans="1:35" ht="44" customHeight="1" x14ac:dyDescent="0.35">
      <c r="A10" s="48" t="s">
        <v>70</v>
      </c>
      <c r="B10" s="48"/>
      <c r="C10" s="50"/>
      <c r="D10" s="49"/>
      <c r="E10" s="49"/>
      <c r="F10" s="48"/>
      <c r="G10" s="51"/>
      <c r="H10" s="48"/>
      <c r="I10" s="49"/>
      <c r="J10" s="48"/>
      <c r="K10" s="48"/>
      <c r="L10" s="48" t="e">
        <f>INDEX(RiskMatrix,MATCH(K10,RangeKemungkinan,0),MATCH(J10,RangeDampak,0))</f>
        <v>#N/A</v>
      </c>
      <c r="M10" s="48" t="e">
        <f>INDEX(RiskLevel,MATCH(K10,RangeKemungkinan,0),MATCH(J10,RangeDampak,0))</f>
        <v>#N/A</v>
      </c>
      <c r="N10" s="48"/>
      <c r="O10" s="49"/>
      <c r="P10" s="48"/>
      <c r="Q10" s="49"/>
      <c r="R10" s="49"/>
      <c r="S10" s="49"/>
      <c r="T10" s="49"/>
      <c r="U10" s="48"/>
      <c r="V10" s="48"/>
      <c r="W10" s="48"/>
      <c r="X10" s="48" t="str">
        <f>IF(U10="Ya",(INDEX(RiskMatrix,MATCH(W10,RangeKemungkinan,0),MATCH(V10,RangeDampak,0))),"N/A")</f>
        <v>N/A</v>
      </c>
      <c r="Y10" s="48" t="str">
        <f t="shared" si="2"/>
        <v>N/A</v>
      </c>
      <c r="Z10" s="51"/>
      <c r="AA10" s="49"/>
      <c r="AB10">
        <f>IF(Y10="Acceptable",1,0)</f>
        <v>0</v>
      </c>
      <c r="AC10">
        <f>IF(Y10="Not Acceptable",1,0)</f>
        <v>0</v>
      </c>
      <c r="AD10" s="43"/>
      <c r="AF10" s="30" t="str">
        <f>IF(ISNUMBER(L10),IF(L10&gt;=11,"Not Acceptable","Acceptable"),"N/A")</f>
        <v>N/A</v>
      </c>
      <c r="AG10" s="30">
        <f t="shared" si="0"/>
        <v>0</v>
      </c>
      <c r="AH10" s="30">
        <f t="shared" si="1"/>
        <v>0</v>
      </c>
    </row>
    <row r="11" spans="1:35" ht="44" customHeight="1" x14ac:dyDescent="0.35">
      <c r="A11" s="48" t="s">
        <v>71</v>
      </c>
      <c r="B11" s="48"/>
      <c r="C11" s="50"/>
      <c r="D11" s="49"/>
      <c r="E11" s="49"/>
      <c r="F11" s="48"/>
      <c r="G11" s="51"/>
      <c r="H11" s="48"/>
      <c r="I11" s="49"/>
      <c r="J11" s="48"/>
      <c r="K11" s="48"/>
      <c r="L11" s="48" t="e">
        <f>INDEX(RiskMatrix,MATCH(K11,RangeKemungkinan,0),MATCH(J11,RangeDampak,0))</f>
        <v>#N/A</v>
      </c>
      <c r="M11" s="48" t="e">
        <f>INDEX(RiskLevel,MATCH(K11,RangeKemungkinan,0),MATCH(J11,RangeDampak,0))</f>
        <v>#N/A</v>
      </c>
      <c r="N11" s="48"/>
      <c r="O11" s="49"/>
      <c r="P11" s="48"/>
      <c r="Q11" s="49"/>
      <c r="R11" s="49"/>
      <c r="S11" s="49"/>
      <c r="T11" s="49"/>
      <c r="U11" s="48"/>
      <c r="V11" s="48"/>
      <c r="W11" s="48"/>
      <c r="X11" s="48" t="str">
        <f>IF(U11="Ya",(INDEX(RiskMatrix,MATCH(W11,RangeKemungkinan,0),MATCH(V11,RangeDampak,0))),"N/A")</f>
        <v>N/A</v>
      </c>
      <c r="Y11" s="48" t="str">
        <f t="shared" si="2"/>
        <v>N/A</v>
      </c>
      <c r="Z11" s="51"/>
      <c r="AA11" s="49"/>
      <c r="AB11">
        <f>IF(Y11="Acceptable",1,0)</f>
        <v>0</v>
      </c>
      <c r="AC11">
        <f>IF(Y11="Not Acceptable",1,0)</f>
        <v>0</v>
      </c>
      <c r="AD11" s="43"/>
      <c r="AF11" s="30" t="str">
        <f>IF(ISNUMBER(L11),IF(L11&gt;=11,"Not Acceptable","Acceptable"),"N/A")</f>
        <v>N/A</v>
      </c>
      <c r="AG11" s="30">
        <f t="shared" si="0"/>
        <v>0</v>
      </c>
      <c r="AH11" s="30">
        <f t="shared" si="1"/>
        <v>0</v>
      </c>
    </row>
    <row r="12" spans="1:35" x14ac:dyDescent="0.35">
      <c r="AB12">
        <f>SUM(AB7:AB11)</f>
        <v>1</v>
      </c>
      <c r="AC12">
        <f>SUM(AC7:AC11)</f>
        <v>0</v>
      </c>
      <c r="AG12" s="30">
        <f>SUM(AG7:AG11)</f>
        <v>1</v>
      </c>
      <c r="AH12" s="30">
        <f>SUM(AH7:AH11)</f>
        <v>1</v>
      </c>
      <c r="AI12">
        <f>SUM(AG12:AH12)</f>
        <v>2</v>
      </c>
    </row>
  </sheetData>
  <mergeCells count="31">
    <mergeCell ref="D2:U2"/>
    <mergeCell ref="V2:W2"/>
    <mergeCell ref="Z3:AA3"/>
    <mergeCell ref="A4:A6"/>
    <mergeCell ref="B4:B6"/>
    <mergeCell ref="C4:H4"/>
    <mergeCell ref="I4:I6"/>
    <mergeCell ref="J4:M5"/>
    <mergeCell ref="N4:O4"/>
    <mergeCell ref="P4:U4"/>
    <mergeCell ref="U5:U6"/>
    <mergeCell ref="V4:Y4"/>
    <mergeCell ref="Z4:Z6"/>
    <mergeCell ref="AA4:AA6"/>
    <mergeCell ref="C5:C6"/>
    <mergeCell ref="D5:D6"/>
    <mergeCell ref="E5:E6"/>
    <mergeCell ref="F5:F6"/>
    <mergeCell ref="G5:G6"/>
    <mergeCell ref="H5:H6"/>
    <mergeCell ref="N5:N6"/>
    <mergeCell ref="O5:O6"/>
    <mergeCell ref="P5:P6"/>
    <mergeCell ref="Q5:Q6"/>
    <mergeCell ref="R5:R6"/>
    <mergeCell ref="S5:S6"/>
    <mergeCell ref="V5:V6"/>
    <mergeCell ref="W5:W6"/>
    <mergeCell ref="X5:X6"/>
    <mergeCell ref="Y5:Y6"/>
    <mergeCell ref="AB5:AD5"/>
  </mergeCells>
  <dataValidations count="6">
    <dataValidation type="list" allowBlank="1" showInputMessage="1" showErrorMessage="1" sqref="B7:B11" xr:uid="{F78AEA5D-273B-43D6-A344-7C41A6AC4EB1}">
      <formula1>"Positif, Negatif"</formula1>
    </dataValidation>
    <dataValidation type="list" allowBlank="1" showInputMessage="1" showErrorMessage="1" sqref="N7:N11 U7:U11" xr:uid="{A08DE545-EE16-4394-BA51-5F7C1FB6AEAE}">
      <formula1>"Ya, Tidak"</formula1>
    </dataValidation>
    <dataValidation type="list" allowBlank="1" showInputMessage="1" showErrorMessage="1" sqref="P7:P11" xr:uid="{81E231BE-2C3A-43EB-9D76-95E5C60720A1}">
      <formula1>"Eskalasi Risiko, Mitigasi Risiko, Transfer Risiko, Penghindaran Risiko, Penerimaan Risiko"</formula1>
    </dataValidation>
    <dataValidation type="list" allowBlank="1" showInputMessage="1" showErrorMessage="1" sqref="H7:H11" xr:uid="{AFC3ED0A-7D53-430E-B3B2-6A37BA421EAD}">
      <formula1>"Finansial, Reputasi, Kinerja, Layanan Organisasi, Operasional dan Aset TIK, Hukum dan Regulasi, SDM"</formula1>
    </dataValidation>
    <dataValidation type="list" allowBlank="1" showInputMessage="1" showErrorMessage="1" sqref="J7:J11 V7:V11" xr:uid="{4132D065-4844-4861-AD18-974DEBE63F09}">
      <formula1>"Tidak Signifikan, Kurang Signifikan, Cukup Signifikan, Signifikan, Sangat Signifikan"</formula1>
    </dataValidation>
    <dataValidation type="list" allowBlank="1" showInputMessage="1" showErrorMessage="1" sqref="K7:K11 W7:W11" xr:uid="{3422D35C-46DD-4F7F-9334-98ABA67063D5}">
      <formula1>"Hampir Tidak Terjadi, Jarang Terjadi, Kadang-Kadang Terjadi, Sering Terjadi, Hampir Pasti Terjadi"</formula1>
    </dataValidation>
  </dataValidations>
  <pageMargins left="0.70866141732283461" right="0.70866141732283461" top="0.74803149606299213" bottom="0.74803149606299213" header="0.31496062992125984" footer="0.31496062992125984"/>
  <pageSetup paperSize="9" scale="23" orientation="landscape"/>
  <headerFooter>
    <oddFooter>&amp;LFRM-I.1.7/002 Daftar Resiko Keamanan Informasi - Information Aset&amp;CHalaman &amp;P dari &amp;N</oddFooter>
  </headerFooter>
  <rowBreaks count="1" manualBreakCount="1">
    <brk id="11" max="18" man="1"/>
  </rowBreaks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316C10-DCBE-43CA-9A7D-CE8AEADE695B}">
          <x14:formula1>
            <xm:f>'List Kategori Risiko Keamanan'!$A$2:$A$13</xm:f>
          </x14:formula1>
          <xm:sqref>F1 F3:F1048576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5F4A3-0A19-4C77-B9C6-7CBD4F8D1CE0}">
  <dimension ref="A2:AI12"/>
  <sheetViews>
    <sheetView topLeftCell="A5" zoomScale="77" zoomScaleNormal="77" workbookViewId="0">
      <selection activeCell="D8" sqref="D8"/>
    </sheetView>
  </sheetViews>
  <sheetFormatPr defaultColWidth="8.81640625" defaultRowHeight="14.5" x14ac:dyDescent="0.35"/>
  <cols>
    <col min="1" max="1" width="8.6328125" style="2" customWidth="1"/>
    <col min="2" max="2" width="15.453125" style="2" customWidth="1"/>
    <col min="3" max="3" width="26.36328125" style="28" customWidth="1"/>
    <col min="4" max="5" width="23.81640625" style="29" customWidth="1"/>
    <col min="6" max="6" width="19.81640625" style="2" customWidth="1"/>
    <col min="7" max="7" width="32" style="29" customWidth="1"/>
    <col min="8" max="8" width="19.36328125" style="2" customWidth="1"/>
    <col min="9" max="9" width="40.6328125" style="29" customWidth="1"/>
    <col min="10" max="10" width="9.1796875" style="2" customWidth="1"/>
    <col min="11" max="11" width="13.81640625" style="2" customWidth="1"/>
    <col min="12" max="12" width="8.1796875" style="2" customWidth="1"/>
    <col min="13" max="13" width="16" style="2" customWidth="1"/>
    <col min="14" max="14" width="16.453125" style="2" customWidth="1"/>
    <col min="15" max="15" width="19.36328125" style="29" customWidth="1"/>
    <col min="16" max="16" width="16.81640625" style="2" customWidth="1"/>
    <col min="17" max="17" width="20.36328125" style="29" customWidth="1"/>
    <col min="18" max="18" width="26.453125" style="29" customWidth="1"/>
    <col min="19" max="19" width="16.1796875" style="29" customWidth="1"/>
    <col min="20" max="20" width="11.6328125" style="29" customWidth="1"/>
    <col min="21" max="21" width="12.453125" style="2" customWidth="1"/>
    <col min="22" max="22" width="9.453125" style="2" customWidth="1"/>
    <col min="23" max="23" width="12.6328125" style="2" customWidth="1"/>
    <col min="24" max="24" width="8" style="2" customWidth="1"/>
    <col min="25" max="25" width="18.1796875" style="2" customWidth="1"/>
    <col min="26" max="26" width="16.1796875" style="2" customWidth="1"/>
    <col min="27" max="27" width="19.1796875" style="29" customWidth="1"/>
    <col min="28" max="31" width="8.81640625" hidden="1" customWidth="1"/>
    <col min="32" max="32" width="18.453125" hidden="1" customWidth="1"/>
    <col min="33" max="34" width="8.81640625" style="30" hidden="1" customWidth="1"/>
    <col min="35" max="35" width="8.81640625" hidden="1" customWidth="1"/>
    <col min="36" max="36" width="8.81640625" customWidth="1"/>
  </cols>
  <sheetData>
    <row r="2" spans="1:35" ht="127.5" customHeight="1" x14ac:dyDescent="0.35">
      <c r="A2" s="31"/>
      <c r="B2" s="80"/>
      <c r="C2" s="80"/>
      <c r="D2" s="125" t="s">
        <v>72</v>
      </c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35" t="s">
        <v>3</v>
      </c>
      <c r="W2" s="135"/>
      <c r="X2" s="32"/>
      <c r="Y2" s="33" t="s">
        <v>23</v>
      </c>
      <c r="Z2" s="34" t="s">
        <v>24</v>
      </c>
      <c r="AA2" s="35"/>
    </row>
    <row r="3" spans="1:35" ht="15" customHeight="1" x14ac:dyDescent="0.35">
      <c r="A3" s="36"/>
      <c r="B3" s="36"/>
      <c r="C3" s="36"/>
      <c r="D3" s="37"/>
      <c r="E3" s="37"/>
      <c r="F3" s="38"/>
      <c r="G3" s="37"/>
      <c r="H3" s="38"/>
      <c r="I3" s="37"/>
      <c r="J3" s="37"/>
      <c r="K3" s="37"/>
      <c r="L3" s="37"/>
      <c r="M3" s="37"/>
      <c r="N3" s="38"/>
      <c r="O3" s="37"/>
      <c r="P3" s="38"/>
      <c r="Q3" s="37"/>
      <c r="R3" s="37"/>
      <c r="S3" s="37"/>
      <c r="T3" s="37"/>
      <c r="U3" s="38"/>
      <c r="V3" s="39"/>
      <c r="W3" s="39"/>
      <c r="X3" s="40"/>
      <c r="Y3" s="40"/>
      <c r="Z3" s="136"/>
      <c r="AA3" s="136"/>
    </row>
    <row r="4" spans="1:35" ht="34" customHeight="1" x14ac:dyDescent="0.35">
      <c r="A4" s="126" t="s">
        <v>25</v>
      </c>
      <c r="B4" s="139" t="s">
        <v>26</v>
      </c>
      <c r="C4" s="142" t="s">
        <v>27</v>
      </c>
      <c r="D4" s="142"/>
      <c r="E4" s="142"/>
      <c r="F4" s="142"/>
      <c r="G4" s="142"/>
      <c r="H4" s="142"/>
      <c r="I4" s="126" t="s">
        <v>28</v>
      </c>
      <c r="J4" s="126" t="s">
        <v>29</v>
      </c>
      <c r="K4" s="126"/>
      <c r="L4" s="126"/>
      <c r="M4" s="126"/>
      <c r="N4" s="137" t="s">
        <v>30</v>
      </c>
      <c r="O4" s="138"/>
      <c r="P4" s="143" t="s">
        <v>31</v>
      </c>
      <c r="Q4" s="144"/>
      <c r="R4" s="144"/>
      <c r="S4" s="144"/>
      <c r="T4" s="144"/>
      <c r="U4" s="145"/>
      <c r="V4" s="126" t="s">
        <v>32</v>
      </c>
      <c r="W4" s="126"/>
      <c r="X4" s="126"/>
      <c r="Y4" s="126"/>
      <c r="Z4" s="126" t="s">
        <v>33</v>
      </c>
      <c r="AA4" s="126" t="s">
        <v>34</v>
      </c>
      <c r="AB4" s="42"/>
      <c r="AC4" s="43"/>
      <c r="AD4" s="43"/>
    </row>
    <row r="5" spans="1:35" ht="29" customHeight="1" x14ac:dyDescent="0.35">
      <c r="A5" s="126"/>
      <c r="B5" s="140"/>
      <c r="C5" s="146" t="s">
        <v>162</v>
      </c>
      <c r="D5" s="127" t="s">
        <v>35</v>
      </c>
      <c r="E5" s="127" t="s">
        <v>163</v>
      </c>
      <c r="F5" s="127" t="s">
        <v>36</v>
      </c>
      <c r="G5" s="127" t="s">
        <v>37</v>
      </c>
      <c r="H5" s="127" t="s">
        <v>38</v>
      </c>
      <c r="I5" s="126"/>
      <c r="J5" s="126"/>
      <c r="K5" s="126"/>
      <c r="L5" s="126"/>
      <c r="M5" s="126"/>
      <c r="N5" s="129" t="s">
        <v>336</v>
      </c>
      <c r="O5" s="129" t="s">
        <v>39</v>
      </c>
      <c r="P5" s="131" t="s">
        <v>40</v>
      </c>
      <c r="Q5" s="131" t="s">
        <v>41</v>
      </c>
      <c r="R5" s="131" t="s">
        <v>42</v>
      </c>
      <c r="S5" s="131" t="s">
        <v>43</v>
      </c>
      <c r="T5" s="44" t="s">
        <v>44</v>
      </c>
      <c r="U5" s="133" t="s">
        <v>164</v>
      </c>
      <c r="V5" s="126" t="s">
        <v>37</v>
      </c>
      <c r="W5" s="126" t="s">
        <v>45</v>
      </c>
      <c r="X5" s="126" t="s">
        <v>46</v>
      </c>
      <c r="Y5" s="126" t="s">
        <v>47</v>
      </c>
      <c r="Z5" s="126"/>
      <c r="AA5" s="126"/>
      <c r="AB5" s="122" t="s">
        <v>48</v>
      </c>
      <c r="AC5" s="123"/>
      <c r="AD5" s="124"/>
    </row>
    <row r="6" spans="1:35" s="30" customFormat="1" ht="31" customHeight="1" x14ac:dyDescent="0.35">
      <c r="A6" s="126"/>
      <c r="B6" s="141"/>
      <c r="C6" s="146"/>
      <c r="D6" s="128"/>
      <c r="E6" s="128"/>
      <c r="F6" s="128"/>
      <c r="G6" s="128"/>
      <c r="H6" s="128"/>
      <c r="I6" s="126"/>
      <c r="J6" s="41" t="s">
        <v>37</v>
      </c>
      <c r="K6" s="41" t="s">
        <v>45</v>
      </c>
      <c r="L6" s="41" t="s">
        <v>49</v>
      </c>
      <c r="M6" s="41" t="s">
        <v>50</v>
      </c>
      <c r="N6" s="130"/>
      <c r="O6" s="130"/>
      <c r="P6" s="132"/>
      <c r="Q6" s="132"/>
      <c r="R6" s="132"/>
      <c r="S6" s="132"/>
      <c r="T6" s="45"/>
      <c r="U6" s="134"/>
      <c r="V6" s="126"/>
      <c r="W6" s="126"/>
      <c r="X6" s="126"/>
      <c r="Y6" s="126"/>
      <c r="Z6" s="126"/>
      <c r="AA6" s="126"/>
      <c r="AB6" s="46" t="s">
        <v>51</v>
      </c>
      <c r="AC6" s="47" t="s">
        <v>52</v>
      </c>
      <c r="AD6" s="47"/>
      <c r="AF6" s="30" t="s">
        <v>53</v>
      </c>
      <c r="AG6" s="30" t="s">
        <v>51</v>
      </c>
      <c r="AH6" s="30" t="s">
        <v>52</v>
      </c>
      <c r="AI6" s="30" t="s">
        <v>54</v>
      </c>
    </row>
    <row r="7" spans="1:35" ht="119" customHeight="1" x14ac:dyDescent="0.35">
      <c r="A7" s="48" t="s">
        <v>168</v>
      </c>
      <c r="B7" s="48"/>
      <c r="C7" s="50" t="s">
        <v>371</v>
      </c>
      <c r="D7" s="49"/>
      <c r="E7" s="49"/>
      <c r="F7" s="48"/>
      <c r="G7" s="51"/>
      <c r="H7" s="48"/>
      <c r="I7" s="49"/>
      <c r="J7" s="48" t="s">
        <v>78</v>
      </c>
      <c r="K7" s="48" t="s">
        <v>84</v>
      </c>
      <c r="L7" s="48">
        <f>INDEX(RiskMatrix,MATCH(K7,RangeKemungkinan,0),MATCH(J7,RangeDampak,0))</f>
        <v>19</v>
      </c>
      <c r="M7" s="48" t="str">
        <f>INDEX(RiskLevel,MATCH(K7,RangeKemungkinan,0),MATCH(J7,RangeDampak,0))</f>
        <v>Tinggi</v>
      </c>
      <c r="N7" s="48"/>
      <c r="O7" s="49"/>
      <c r="P7" s="48"/>
      <c r="Q7" s="49"/>
      <c r="R7" s="49"/>
      <c r="S7" s="49"/>
      <c r="T7" s="49"/>
      <c r="U7" s="48" t="s">
        <v>148</v>
      </c>
      <c r="V7" s="48" t="s">
        <v>76</v>
      </c>
      <c r="W7" s="48" t="s">
        <v>82</v>
      </c>
      <c r="X7" s="48">
        <f>IF(U7="Ya",(INDEX(RiskMatrix,MATCH(W7,RangeKemungkinan,0),MATCH(V7,RangeDampak,0))),"N/A")</f>
        <v>7</v>
      </c>
      <c r="Y7" s="48" t="str">
        <f>IF(ISNUMBER(X7),IF(X7&gt;=11,"Not Acceptable","Acceptable"),"N/A")</f>
        <v>Acceptable</v>
      </c>
      <c r="Z7" s="51"/>
      <c r="AA7" s="49"/>
      <c r="AB7">
        <f>IF(Y7="Acceptable",1,0)</f>
        <v>1</v>
      </c>
      <c r="AC7">
        <f>IF(Y7="Not Acceptable",1,0)</f>
        <v>0</v>
      </c>
      <c r="AD7" s="43"/>
      <c r="AF7" s="30" t="str">
        <f>IF(ISNUMBER(L7),IF(L7&gt;=11,"Not Acceptable","Acceptable"),"N/A")</f>
        <v>Not Acceptable</v>
      </c>
      <c r="AG7" s="30">
        <f t="shared" ref="AG7:AG11" si="0">IF(AF7="Acceptable",1,0)</f>
        <v>0</v>
      </c>
      <c r="AH7" s="30">
        <f t="shared" ref="AH7:AH11" si="1">IF(AF7="Not Acceptable",1,0)</f>
        <v>1</v>
      </c>
    </row>
    <row r="8" spans="1:35" ht="142" customHeight="1" x14ac:dyDescent="0.35">
      <c r="A8" s="48" t="s">
        <v>169</v>
      </c>
      <c r="B8" s="48"/>
      <c r="C8" s="50" t="s">
        <v>372</v>
      </c>
      <c r="D8" s="49"/>
      <c r="E8" s="49"/>
      <c r="F8" s="48"/>
      <c r="G8" s="51"/>
      <c r="H8" s="48"/>
      <c r="I8" s="49"/>
      <c r="J8" s="48" t="s">
        <v>76</v>
      </c>
      <c r="K8" s="48" t="s">
        <v>81</v>
      </c>
      <c r="L8" s="48">
        <f>INDEX(RiskMatrix,MATCH(K8,RangeKemungkinan,0),MATCH(J8,RangeDampak,0))</f>
        <v>3</v>
      </c>
      <c r="M8" s="48" t="str">
        <f>INDEX(RiskLevel,MATCH(K8,RangeKemungkinan,0),MATCH(J8,RangeDampak,0))</f>
        <v>Rendah</v>
      </c>
      <c r="N8" s="48"/>
      <c r="O8" s="49"/>
      <c r="P8" s="48"/>
      <c r="Q8" s="49"/>
      <c r="R8" s="49"/>
      <c r="S8" s="49"/>
      <c r="T8" s="49"/>
      <c r="U8" s="48"/>
      <c r="V8" s="48"/>
      <c r="W8" s="48"/>
      <c r="X8" s="48" t="str">
        <f>IF(U8="Ya",(INDEX(RiskMatrix,MATCH(W8,RangeKemungkinan,0),MATCH(V8,RangeDampak,0))),"N/A")</f>
        <v>N/A</v>
      </c>
      <c r="Y8" s="48" t="str">
        <f t="shared" ref="Y8:Y11" si="2">IF(ISNUMBER(X8),IF(X8&gt;=11,"Not Acceptable","Acceptable"),"N/A")</f>
        <v>N/A</v>
      </c>
      <c r="Z8"/>
      <c r="AA8" s="49"/>
      <c r="AB8">
        <f>IF(Y8="Acceptable",1,0)</f>
        <v>0</v>
      </c>
      <c r="AC8">
        <f>IF(Y8="Not Acceptable",1,0)</f>
        <v>0</v>
      </c>
      <c r="AD8" s="43"/>
      <c r="AF8" s="30" t="str">
        <f>IF(ISNUMBER(L8),IF(L8&gt;=11,"Not Acceptable","Acceptable"),"N/A")</f>
        <v>Acceptable</v>
      </c>
      <c r="AG8" s="30">
        <f t="shared" si="0"/>
        <v>1</v>
      </c>
      <c r="AH8" s="30">
        <f t="shared" si="1"/>
        <v>0</v>
      </c>
    </row>
    <row r="9" spans="1:35" ht="44" customHeight="1" x14ac:dyDescent="0.35">
      <c r="A9" s="48" t="s">
        <v>170</v>
      </c>
      <c r="B9" s="48"/>
      <c r="C9" s="50" t="s">
        <v>373</v>
      </c>
      <c r="D9" s="49"/>
      <c r="E9" s="49"/>
      <c r="F9" s="48"/>
      <c r="G9" s="51"/>
      <c r="H9" s="48"/>
      <c r="I9" s="49"/>
      <c r="J9" s="48"/>
      <c r="K9" s="48"/>
      <c r="L9" s="48" t="e">
        <f>INDEX(RiskMatrix,MATCH(K9,RangeKemungkinan,0),MATCH(J9,RangeDampak,0))</f>
        <v>#N/A</v>
      </c>
      <c r="M9" s="48" t="e">
        <f>INDEX(RiskLevel,MATCH(K9,RangeKemungkinan,0),MATCH(J9,RangeDampak,0))</f>
        <v>#N/A</v>
      </c>
      <c r="N9" s="48"/>
      <c r="O9" s="49"/>
      <c r="P9" s="48"/>
      <c r="Q9" s="49"/>
      <c r="R9" s="49"/>
      <c r="S9" s="49"/>
      <c r="T9" s="49"/>
      <c r="U9" s="48"/>
      <c r="V9" s="48"/>
      <c r="W9" s="48"/>
      <c r="X9" s="48" t="str">
        <f>IF(U9="Ya",(INDEX(RiskMatrix,MATCH(W9,RangeKemungkinan,0),MATCH(V9,RangeDampak,0))),"N/A")</f>
        <v>N/A</v>
      </c>
      <c r="Y9" s="48" t="str">
        <f t="shared" si="2"/>
        <v>N/A</v>
      </c>
      <c r="Z9" s="51"/>
      <c r="AA9" s="49"/>
      <c r="AB9">
        <f>IF(Y9="Acceptable",1,0)</f>
        <v>0</v>
      </c>
      <c r="AC9">
        <f>IF(Y9="Not Acceptable",1,0)</f>
        <v>0</v>
      </c>
      <c r="AD9" s="43"/>
      <c r="AF9" s="30" t="str">
        <f>IF(ISNUMBER(L9),IF(L9&gt;=11,"Not Acceptable","Acceptable"),"N/A")</f>
        <v>N/A</v>
      </c>
      <c r="AG9" s="30">
        <f t="shared" si="0"/>
        <v>0</v>
      </c>
      <c r="AH9" s="30">
        <f t="shared" si="1"/>
        <v>0</v>
      </c>
    </row>
    <row r="10" spans="1:35" ht="44" customHeight="1" x14ac:dyDescent="0.35">
      <c r="A10" s="48" t="s">
        <v>171</v>
      </c>
      <c r="B10" s="48"/>
      <c r="C10" s="50"/>
      <c r="D10" s="49"/>
      <c r="E10" s="49"/>
      <c r="F10" s="48"/>
      <c r="G10" s="51"/>
      <c r="H10" s="48"/>
      <c r="I10" s="49"/>
      <c r="J10" s="48"/>
      <c r="K10" s="48"/>
      <c r="L10" s="48" t="e">
        <f>INDEX(RiskMatrix,MATCH(K10,RangeKemungkinan,0),MATCH(J10,RangeDampak,0))</f>
        <v>#N/A</v>
      </c>
      <c r="M10" s="48" t="e">
        <f>INDEX(RiskLevel,MATCH(K10,RangeKemungkinan,0),MATCH(J10,RangeDampak,0))</f>
        <v>#N/A</v>
      </c>
      <c r="N10" s="48"/>
      <c r="O10" s="49"/>
      <c r="P10" s="48"/>
      <c r="Q10" s="49"/>
      <c r="R10" s="49"/>
      <c r="S10" s="49"/>
      <c r="T10" s="49"/>
      <c r="U10" s="48"/>
      <c r="V10" s="48"/>
      <c r="W10" s="48"/>
      <c r="X10" s="48" t="str">
        <f>IF(U10="Ya",(INDEX(RiskMatrix,MATCH(W10,RangeKemungkinan,0),MATCH(V10,RangeDampak,0))),"N/A")</f>
        <v>N/A</v>
      </c>
      <c r="Y10" s="48" t="str">
        <f t="shared" si="2"/>
        <v>N/A</v>
      </c>
      <c r="Z10" s="51"/>
      <c r="AA10" s="49"/>
      <c r="AB10">
        <f>IF(Y10="Acceptable",1,0)</f>
        <v>0</v>
      </c>
      <c r="AC10">
        <f>IF(Y10="Not Acceptable",1,0)</f>
        <v>0</v>
      </c>
      <c r="AD10" s="43"/>
      <c r="AF10" s="30" t="str">
        <f>IF(ISNUMBER(L10),IF(L10&gt;=11,"Not Acceptable","Acceptable"),"N/A")</f>
        <v>N/A</v>
      </c>
      <c r="AG10" s="30">
        <f t="shared" si="0"/>
        <v>0</v>
      </c>
      <c r="AH10" s="30">
        <f t="shared" si="1"/>
        <v>0</v>
      </c>
    </row>
    <row r="11" spans="1:35" ht="44" customHeight="1" x14ac:dyDescent="0.35">
      <c r="A11" s="48" t="s">
        <v>172</v>
      </c>
      <c r="B11" s="48"/>
      <c r="C11" s="50"/>
      <c r="D11" s="49"/>
      <c r="E11" s="49"/>
      <c r="F11" s="48"/>
      <c r="G11" s="51"/>
      <c r="H11" s="48"/>
      <c r="I11" s="49"/>
      <c r="J11" s="48"/>
      <c r="K11" s="48"/>
      <c r="L11" s="48" t="e">
        <f>INDEX(RiskMatrix,MATCH(K11,RangeKemungkinan,0),MATCH(J11,RangeDampak,0))</f>
        <v>#N/A</v>
      </c>
      <c r="M11" s="48" t="e">
        <f>INDEX(RiskLevel,MATCH(K11,RangeKemungkinan,0),MATCH(J11,RangeDampak,0))</f>
        <v>#N/A</v>
      </c>
      <c r="N11" s="48"/>
      <c r="O11" s="49"/>
      <c r="P11" s="48"/>
      <c r="Q11" s="49"/>
      <c r="R11" s="49"/>
      <c r="S11" s="49"/>
      <c r="T11" s="49"/>
      <c r="U11" s="48"/>
      <c r="V11" s="48"/>
      <c r="W11" s="48"/>
      <c r="X11" s="48" t="str">
        <f>IF(U11="Ya",(INDEX(RiskMatrix,MATCH(W11,RangeKemungkinan,0),MATCH(V11,RangeDampak,0))),"N/A")</f>
        <v>N/A</v>
      </c>
      <c r="Y11" s="48" t="str">
        <f t="shared" si="2"/>
        <v>N/A</v>
      </c>
      <c r="Z11" s="51"/>
      <c r="AA11" s="49"/>
      <c r="AB11">
        <f>IF(Y11="Acceptable",1,0)</f>
        <v>0</v>
      </c>
      <c r="AC11">
        <f>IF(Y11="Not Acceptable",1,0)</f>
        <v>0</v>
      </c>
      <c r="AD11" s="43"/>
      <c r="AF11" s="30" t="str">
        <f>IF(ISNUMBER(L11),IF(L11&gt;=11,"Not Acceptable","Acceptable"),"N/A")</f>
        <v>N/A</v>
      </c>
      <c r="AG11" s="30">
        <f t="shared" si="0"/>
        <v>0</v>
      </c>
      <c r="AH11" s="30">
        <f t="shared" si="1"/>
        <v>0</v>
      </c>
    </row>
    <row r="12" spans="1:35" x14ac:dyDescent="0.35">
      <c r="AB12">
        <f>SUM(AB7:AB11)</f>
        <v>1</v>
      </c>
      <c r="AC12">
        <f>SUM(AC7:AC11)</f>
        <v>0</v>
      </c>
      <c r="AG12" s="30">
        <f>SUM(AG7:AG11)</f>
        <v>1</v>
      </c>
      <c r="AH12" s="30">
        <f>SUM(AH7:AH11)</f>
        <v>1</v>
      </c>
      <c r="AI12">
        <f>SUM(AG12:AH12)</f>
        <v>2</v>
      </c>
    </row>
  </sheetData>
  <mergeCells count="31">
    <mergeCell ref="D2:U2"/>
    <mergeCell ref="V2:W2"/>
    <mergeCell ref="Z3:AA3"/>
    <mergeCell ref="A4:A6"/>
    <mergeCell ref="B4:B6"/>
    <mergeCell ref="C4:H4"/>
    <mergeCell ref="I4:I6"/>
    <mergeCell ref="J4:M5"/>
    <mergeCell ref="N4:O4"/>
    <mergeCell ref="P4:U4"/>
    <mergeCell ref="U5:U6"/>
    <mergeCell ref="V4:Y4"/>
    <mergeCell ref="Z4:Z6"/>
    <mergeCell ref="AA4:AA6"/>
    <mergeCell ref="C5:C6"/>
    <mergeCell ref="D5:D6"/>
    <mergeCell ref="E5:E6"/>
    <mergeCell ref="F5:F6"/>
    <mergeCell ref="G5:G6"/>
    <mergeCell ref="H5:H6"/>
    <mergeCell ref="N5:N6"/>
    <mergeCell ref="O5:O6"/>
    <mergeCell ref="P5:P6"/>
    <mergeCell ref="Q5:Q6"/>
    <mergeCell ref="R5:R6"/>
    <mergeCell ref="S5:S6"/>
    <mergeCell ref="V5:V6"/>
    <mergeCell ref="W5:W6"/>
    <mergeCell ref="X5:X6"/>
    <mergeCell ref="Y5:Y6"/>
    <mergeCell ref="AB5:AD5"/>
  </mergeCells>
  <dataValidations count="6">
    <dataValidation type="list" allowBlank="1" showInputMessage="1" showErrorMessage="1" sqref="K7:K11 W7:W11" xr:uid="{67A66B30-DC10-4D7F-9797-075E92F5F3FE}">
      <formula1>"Hampir Tidak Terjadi, Jarang Terjadi, Kadang-Kadang Terjadi, Sering Terjadi, Hampir Pasti Terjadi"</formula1>
    </dataValidation>
    <dataValidation type="list" allowBlank="1" showInputMessage="1" showErrorMessage="1" sqref="J7:J11 V7:V11" xr:uid="{1F54EB59-29ED-4C1D-90D5-E35B120DAFA7}">
      <formula1>"Tidak Signifikan, Kurang Signifikan, Cukup Signifikan, Signifikan, Sangat Signifikan"</formula1>
    </dataValidation>
    <dataValidation type="list" allowBlank="1" showInputMessage="1" showErrorMessage="1" sqref="H7:H11" xr:uid="{37F83536-0807-4B24-84EB-DBCDE1F72C4D}">
      <formula1>"Finansial, Reputasi, Kinerja, Layanan Organisasi, Operasional dan Aset TIK, Hukum dan Regulasi, SDM"</formula1>
    </dataValidation>
    <dataValidation type="list" allowBlank="1" showInputMessage="1" showErrorMessage="1" sqref="P7:P11" xr:uid="{97144743-AE42-40D8-8502-DBCE8C0EB2B0}">
      <formula1>"Eskalasi Risiko, Mitigasi Risiko, Transfer Risiko, Penghindaran Risiko, Penerimaan Risiko"</formula1>
    </dataValidation>
    <dataValidation type="list" allowBlank="1" showInputMessage="1" showErrorMessage="1" sqref="N7:N11 U7:U11" xr:uid="{18BB4DE4-2670-48B0-AA60-C39760804124}">
      <formula1>"Ya, Tidak"</formula1>
    </dataValidation>
    <dataValidation type="list" allowBlank="1" showInputMessage="1" showErrorMessage="1" sqref="B7:B11" xr:uid="{CC8D8A34-1782-4FC6-95C1-EF90B5AE3A8D}">
      <formula1>"Positif, Negatif"</formula1>
    </dataValidation>
  </dataValidations>
  <pageMargins left="0.70866141732283461" right="0.70866141732283461" top="0.74803149606299213" bottom="0.74803149606299213" header="0.31496062992125984" footer="0.31496062992125984"/>
  <pageSetup paperSize="9" scale="23" orientation="landscape"/>
  <headerFooter>
    <oddFooter>&amp;LFRM-I.1.7/002 Daftar Resiko Keamanan Informasi - Information Aset&amp;CHalaman &amp;P dari &amp;N</oddFooter>
  </headerFooter>
  <rowBreaks count="1" manualBreakCount="1">
    <brk id="11" max="18" man="1"/>
  </rowBreaks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18547B2-B6D1-4278-8237-338990B43A3D}">
          <x14:formula1>
            <xm:f>'List Kategori Risiko Keamanan'!$A$2:$A$13</xm:f>
          </x14:formula1>
          <xm:sqref>F1 F3:F1048576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7E605-10F9-44A9-8F2E-41CFF827FBEA}">
  <dimension ref="A2:AI12"/>
  <sheetViews>
    <sheetView topLeftCell="A3" zoomScale="70" zoomScaleNormal="70" workbookViewId="0">
      <selection activeCell="C7" sqref="C7"/>
    </sheetView>
  </sheetViews>
  <sheetFormatPr defaultColWidth="8.81640625" defaultRowHeight="14.5" x14ac:dyDescent="0.35"/>
  <cols>
    <col min="1" max="1" width="8.6328125" style="2" customWidth="1"/>
    <col min="2" max="2" width="15.453125" style="2" customWidth="1"/>
    <col min="3" max="3" width="26.36328125" style="28" customWidth="1"/>
    <col min="4" max="5" width="23.81640625" style="29" customWidth="1"/>
    <col min="6" max="6" width="19.81640625" style="2" customWidth="1"/>
    <col min="7" max="7" width="32" style="29" customWidth="1"/>
    <col min="8" max="8" width="19.36328125" style="2" customWidth="1"/>
    <col min="9" max="9" width="40.6328125" style="29" customWidth="1"/>
    <col min="10" max="10" width="9.1796875" style="2" customWidth="1"/>
    <col min="11" max="11" width="13.81640625" style="2" customWidth="1"/>
    <col min="12" max="12" width="8.1796875" style="2" customWidth="1"/>
    <col min="13" max="13" width="16" style="2" customWidth="1"/>
    <col min="14" max="14" width="16.453125" style="2" customWidth="1"/>
    <col min="15" max="15" width="19.36328125" style="29" customWidth="1"/>
    <col min="16" max="16" width="16.81640625" style="2" customWidth="1"/>
    <col min="17" max="17" width="20.36328125" style="29" customWidth="1"/>
    <col min="18" max="18" width="26.453125" style="29" customWidth="1"/>
    <col min="19" max="19" width="16.1796875" style="29" customWidth="1"/>
    <col min="20" max="20" width="11.6328125" style="29" customWidth="1"/>
    <col min="21" max="21" width="12.453125" style="2" customWidth="1"/>
    <col min="22" max="22" width="9.453125" style="2" customWidth="1"/>
    <col min="23" max="23" width="12.6328125" style="2" customWidth="1"/>
    <col min="24" max="24" width="8" style="2" customWidth="1"/>
    <col min="25" max="25" width="18.1796875" style="2" customWidth="1"/>
    <col min="26" max="26" width="16.1796875" style="2" customWidth="1"/>
    <col min="27" max="27" width="19.1796875" style="29" customWidth="1"/>
    <col min="28" max="31" width="8.81640625" hidden="1" customWidth="1"/>
    <col min="32" max="32" width="18.453125" hidden="1" customWidth="1"/>
    <col min="33" max="34" width="8.81640625" style="30" hidden="1" customWidth="1"/>
    <col min="35" max="35" width="8.81640625" hidden="1" customWidth="1"/>
    <col min="36" max="36" width="8.81640625" customWidth="1"/>
  </cols>
  <sheetData>
    <row r="2" spans="1:35" ht="127.5" customHeight="1" x14ac:dyDescent="0.35">
      <c r="A2" s="31"/>
      <c r="B2" s="80"/>
      <c r="C2" s="80"/>
      <c r="D2" s="125" t="s">
        <v>167</v>
      </c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35" t="s">
        <v>3</v>
      </c>
      <c r="W2" s="135"/>
      <c r="X2" s="32"/>
      <c r="Y2" s="33" t="s">
        <v>23</v>
      </c>
      <c r="Z2" s="34" t="s">
        <v>24</v>
      </c>
      <c r="AA2" s="35"/>
    </row>
    <row r="3" spans="1:35" ht="15" customHeight="1" x14ac:dyDescent="0.35">
      <c r="A3" s="36"/>
      <c r="B3" s="36"/>
      <c r="C3" s="36"/>
      <c r="D3" s="37"/>
      <c r="E3" s="37"/>
      <c r="F3" s="38"/>
      <c r="G3" s="37"/>
      <c r="H3" s="38"/>
      <c r="I3" s="37"/>
      <c r="J3" s="37"/>
      <c r="K3" s="37"/>
      <c r="L3" s="37"/>
      <c r="M3" s="37"/>
      <c r="N3" s="38"/>
      <c r="O3" s="37"/>
      <c r="P3" s="38"/>
      <c r="Q3" s="37"/>
      <c r="R3" s="37"/>
      <c r="S3" s="37"/>
      <c r="T3" s="37"/>
      <c r="U3" s="38"/>
      <c r="V3" s="39"/>
      <c r="W3" s="39"/>
      <c r="X3" s="40"/>
      <c r="Y3" s="40"/>
      <c r="Z3" s="136"/>
      <c r="AA3" s="136"/>
    </row>
    <row r="4" spans="1:35" ht="34" customHeight="1" x14ac:dyDescent="0.35">
      <c r="A4" s="126" t="s">
        <v>25</v>
      </c>
      <c r="B4" s="139" t="s">
        <v>26</v>
      </c>
      <c r="C4" s="142" t="s">
        <v>27</v>
      </c>
      <c r="D4" s="142"/>
      <c r="E4" s="142"/>
      <c r="F4" s="142"/>
      <c r="G4" s="142"/>
      <c r="H4" s="142"/>
      <c r="I4" s="126" t="s">
        <v>28</v>
      </c>
      <c r="J4" s="126" t="s">
        <v>29</v>
      </c>
      <c r="K4" s="126"/>
      <c r="L4" s="126"/>
      <c r="M4" s="126"/>
      <c r="N4" s="137" t="s">
        <v>30</v>
      </c>
      <c r="O4" s="138"/>
      <c r="P4" s="143" t="s">
        <v>31</v>
      </c>
      <c r="Q4" s="144"/>
      <c r="R4" s="144"/>
      <c r="S4" s="144"/>
      <c r="T4" s="144"/>
      <c r="U4" s="145"/>
      <c r="V4" s="126" t="s">
        <v>32</v>
      </c>
      <c r="W4" s="126"/>
      <c r="X4" s="126"/>
      <c r="Y4" s="126"/>
      <c r="Z4" s="126" t="s">
        <v>33</v>
      </c>
      <c r="AA4" s="126" t="s">
        <v>34</v>
      </c>
      <c r="AB4" s="42"/>
      <c r="AC4" s="43"/>
      <c r="AD4" s="43"/>
    </row>
    <row r="5" spans="1:35" ht="29" customHeight="1" x14ac:dyDescent="0.35">
      <c r="A5" s="126"/>
      <c r="B5" s="140"/>
      <c r="C5" s="146" t="s">
        <v>162</v>
      </c>
      <c r="D5" s="127" t="s">
        <v>35</v>
      </c>
      <c r="E5" s="127" t="s">
        <v>163</v>
      </c>
      <c r="F5" s="127" t="s">
        <v>36</v>
      </c>
      <c r="G5" s="127" t="s">
        <v>37</v>
      </c>
      <c r="H5" s="127" t="s">
        <v>38</v>
      </c>
      <c r="I5" s="126"/>
      <c r="J5" s="126"/>
      <c r="K5" s="126"/>
      <c r="L5" s="126"/>
      <c r="M5" s="126"/>
      <c r="N5" s="129" t="s">
        <v>336</v>
      </c>
      <c r="O5" s="129" t="s">
        <v>39</v>
      </c>
      <c r="P5" s="131" t="s">
        <v>40</v>
      </c>
      <c r="Q5" s="131" t="s">
        <v>41</v>
      </c>
      <c r="R5" s="131" t="s">
        <v>42</v>
      </c>
      <c r="S5" s="131" t="s">
        <v>43</v>
      </c>
      <c r="T5" s="44" t="s">
        <v>44</v>
      </c>
      <c r="U5" s="133" t="s">
        <v>164</v>
      </c>
      <c r="V5" s="126" t="s">
        <v>37</v>
      </c>
      <c r="W5" s="126" t="s">
        <v>45</v>
      </c>
      <c r="X5" s="126" t="s">
        <v>46</v>
      </c>
      <c r="Y5" s="126" t="s">
        <v>47</v>
      </c>
      <c r="Z5" s="126"/>
      <c r="AA5" s="126"/>
      <c r="AB5" s="122" t="s">
        <v>48</v>
      </c>
      <c r="AC5" s="123"/>
      <c r="AD5" s="124"/>
    </row>
    <row r="6" spans="1:35" s="30" customFormat="1" ht="31" customHeight="1" x14ac:dyDescent="0.35">
      <c r="A6" s="126"/>
      <c r="B6" s="141"/>
      <c r="C6" s="146"/>
      <c r="D6" s="128"/>
      <c r="E6" s="128"/>
      <c r="F6" s="128"/>
      <c r="G6" s="128"/>
      <c r="H6" s="128"/>
      <c r="I6" s="126"/>
      <c r="J6" s="41" t="s">
        <v>37</v>
      </c>
      <c r="K6" s="41" t="s">
        <v>45</v>
      </c>
      <c r="L6" s="41" t="s">
        <v>49</v>
      </c>
      <c r="M6" s="41" t="s">
        <v>50</v>
      </c>
      <c r="N6" s="130"/>
      <c r="O6" s="130"/>
      <c r="P6" s="132"/>
      <c r="Q6" s="132"/>
      <c r="R6" s="132"/>
      <c r="S6" s="132"/>
      <c r="T6" s="45"/>
      <c r="U6" s="134"/>
      <c r="V6" s="126"/>
      <c r="W6" s="126"/>
      <c r="X6" s="126"/>
      <c r="Y6" s="126"/>
      <c r="Z6" s="126"/>
      <c r="AA6" s="126"/>
      <c r="AB6" s="46" t="s">
        <v>51</v>
      </c>
      <c r="AC6" s="47" t="s">
        <v>52</v>
      </c>
      <c r="AD6" s="47"/>
      <c r="AF6" s="30" t="s">
        <v>53</v>
      </c>
      <c r="AG6" s="30" t="s">
        <v>51</v>
      </c>
      <c r="AH6" s="30" t="s">
        <v>52</v>
      </c>
      <c r="AI6" s="30" t="s">
        <v>54</v>
      </c>
    </row>
    <row r="7" spans="1:35" ht="119" customHeight="1" x14ac:dyDescent="0.35">
      <c r="A7" s="48" t="s">
        <v>173</v>
      </c>
      <c r="B7" s="48" t="s">
        <v>338</v>
      </c>
      <c r="C7" s="50" t="s">
        <v>374</v>
      </c>
      <c r="D7" s="49" t="s">
        <v>375</v>
      </c>
      <c r="E7" s="49" t="s">
        <v>376</v>
      </c>
      <c r="F7" s="48" t="s">
        <v>159</v>
      </c>
      <c r="G7" s="51"/>
      <c r="H7" s="48"/>
      <c r="I7" s="49"/>
      <c r="J7" s="48" t="s">
        <v>78</v>
      </c>
      <c r="K7" s="48" t="s">
        <v>84</v>
      </c>
      <c r="L7" s="48">
        <f>INDEX(RiskMatrix,MATCH(K7,RangeKemungkinan,0),MATCH(J7,RangeDampak,0))</f>
        <v>19</v>
      </c>
      <c r="M7" s="48" t="str">
        <f>INDEX(RiskLevel,MATCH(K7,RangeKemungkinan,0),MATCH(J7,RangeDampak,0))</f>
        <v>Tinggi</v>
      </c>
      <c r="N7" s="48"/>
      <c r="O7" s="49"/>
      <c r="P7" s="48"/>
      <c r="Q7" s="49"/>
      <c r="R7" s="49"/>
      <c r="S7" s="49"/>
      <c r="T7" s="49"/>
      <c r="U7" s="48" t="s">
        <v>148</v>
      </c>
      <c r="V7" s="48" t="s">
        <v>76</v>
      </c>
      <c r="W7" s="48" t="s">
        <v>82</v>
      </c>
      <c r="X7" s="48">
        <f>IF(U7="Ya",(INDEX(RiskMatrix,MATCH(W7,RangeKemungkinan,0),MATCH(V7,RangeDampak,0))),"N/A")</f>
        <v>7</v>
      </c>
      <c r="Y7" s="48" t="str">
        <f>IF(ISNUMBER(X7),IF(X7&gt;=11,"Not Acceptable","Acceptable"),"N/A")</f>
        <v>Acceptable</v>
      </c>
      <c r="Z7" s="51"/>
      <c r="AA7" s="49"/>
      <c r="AB7">
        <f>IF(Y7="Acceptable",1,0)</f>
        <v>1</v>
      </c>
      <c r="AC7">
        <f>IF(Y7="Not Acceptable",1,0)</f>
        <v>0</v>
      </c>
      <c r="AD7" s="43"/>
      <c r="AF7" s="30" t="str">
        <f>IF(ISNUMBER(L7),IF(L7&gt;=11,"Not Acceptable","Acceptable"),"N/A")</f>
        <v>Not Acceptable</v>
      </c>
      <c r="AG7" s="30">
        <f t="shared" ref="AG7:AG11" si="0">IF(AF7="Acceptable",1,0)</f>
        <v>0</v>
      </c>
      <c r="AH7" s="30">
        <f t="shared" ref="AH7:AH11" si="1">IF(AF7="Not Acceptable",1,0)</f>
        <v>1</v>
      </c>
    </row>
    <row r="8" spans="1:35" ht="142" customHeight="1" x14ac:dyDescent="0.35">
      <c r="A8" s="48" t="s">
        <v>174</v>
      </c>
      <c r="B8" s="48"/>
      <c r="C8" s="50"/>
      <c r="D8" s="49"/>
      <c r="E8" s="49"/>
      <c r="F8" s="48"/>
      <c r="G8" s="51"/>
      <c r="H8" s="48"/>
      <c r="I8" s="49"/>
      <c r="J8" s="48" t="s">
        <v>76</v>
      </c>
      <c r="K8" s="48" t="s">
        <v>81</v>
      </c>
      <c r="L8" s="48">
        <f>INDEX(RiskMatrix,MATCH(K8,RangeKemungkinan,0),MATCH(J8,RangeDampak,0))</f>
        <v>3</v>
      </c>
      <c r="M8" s="48" t="str">
        <f>INDEX(RiskLevel,MATCH(K8,RangeKemungkinan,0),MATCH(J8,RangeDampak,0))</f>
        <v>Rendah</v>
      </c>
      <c r="N8" s="48"/>
      <c r="O8" s="49"/>
      <c r="P8" s="48"/>
      <c r="Q8" s="49"/>
      <c r="R8" s="49"/>
      <c r="S8" s="49"/>
      <c r="T8" s="49"/>
      <c r="U8" s="48"/>
      <c r="V8" s="48"/>
      <c r="W8" s="48"/>
      <c r="X8" s="48" t="str">
        <f>IF(U8="Ya",(INDEX(RiskMatrix,MATCH(W8,RangeKemungkinan,0),MATCH(V8,RangeDampak,0))),"N/A")</f>
        <v>N/A</v>
      </c>
      <c r="Y8" s="48" t="str">
        <f t="shared" ref="Y8:Y11" si="2">IF(ISNUMBER(X8),IF(X8&gt;=11,"Not Acceptable","Acceptable"),"N/A")</f>
        <v>N/A</v>
      </c>
      <c r="Z8"/>
      <c r="AA8" s="49"/>
      <c r="AB8">
        <f>IF(Y8="Acceptable",1,0)</f>
        <v>0</v>
      </c>
      <c r="AC8">
        <f>IF(Y8="Not Acceptable",1,0)</f>
        <v>0</v>
      </c>
      <c r="AD8" s="43"/>
      <c r="AF8" s="30" t="str">
        <f>IF(ISNUMBER(L8),IF(L8&gt;=11,"Not Acceptable","Acceptable"),"N/A")</f>
        <v>Acceptable</v>
      </c>
      <c r="AG8" s="30">
        <f t="shared" si="0"/>
        <v>1</v>
      </c>
      <c r="AH8" s="30">
        <f t="shared" si="1"/>
        <v>0</v>
      </c>
    </row>
    <row r="9" spans="1:35" ht="44" customHeight="1" x14ac:dyDescent="0.35">
      <c r="A9" s="48" t="s">
        <v>175</v>
      </c>
      <c r="B9" s="48"/>
      <c r="C9" s="50"/>
      <c r="D9" s="49"/>
      <c r="E9" s="49"/>
      <c r="F9" s="48"/>
      <c r="G9" s="51"/>
      <c r="H9" s="48"/>
      <c r="I9" s="49"/>
      <c r="J9" s="48"/>
      <c r="K9" s="48"/>
      <c r="L9" s="48" t="e">
        <f>INDEX(RiskMatrix,MATCH(K9,RangeKemungkinan,0),MATCH(J9,RangeDampak,0))</f>
        <v>#N/A</v>
      </c>
      <c r="M9" s="48" t="e">
        <f>INDEX(RiskLevel,MATCH(K9,RangeKemungkinan,0),MATCH(J9,RangeDampak,0))</f>
        <v>#N/A</v>
      </c>
      <c r="N9" s="48"/>
      <c r="O9" s="49"/>
      <c r="P9" s="48"/>
      <c r="Q9" s="49"/>
      <c r="R9" s="49"/>
      <c r="S9" s="49"/>
      <c r="T9" s="49"/>
      <c r="U9" s="48"/>
      <c r="V9" s="48"/>
      <c r="W9" s="48"/>
      <c r="X9" s="48" t="str">
        <f>IF(U9="Ya",(INDEX(RiskMatrix,MATCH(W9,RangeKemungkinan,0),MATCH(V9,RangeDampak,0))),"N/A")</f>
        <v>N/A</v>
      </c>
      <c r="Y9" s="48" t="str">
        <f t="shared" si="2"/>
        <v>N/A</v>
      </c>
      <c r="Z9" s="51"/>
      <c r="AA9" s="49"/>
      <c r="AB9">
        <f>IF(Y9="Acceptable",1,0)</f>
        <v>0</v>
      </c>
      <c r="AC9">
        <f>IF(Y9="Not Acceptable",1,0)</f>
        <v>0</v>
      </c>
      <c r="AD9" s="43"/>
      <c r="AF9" s="30" t="str">
        <f>IF(ISNUMBER(L9),IF(L9&gt;=11,"Not Acceptable","Acceptable"),"N/A")</f>
        <v>N/A</v>
      </c>
      <c r="AG9" s="30">
        <f t="shared" si="0"/>
        <v>0</v>
      </c>
      <c r="AH9" s="30">
        <f t="shared" si="1"/>
        <v>0</v>
      </c>
    </row>
    <row r="10" spans="1:35" ht="44" customHeight="1" x14ac:dyDescent="0.35">
      <c r="A10" s="48" t="s">
        <v>176</v>
      </c>
      <c r="B10" s="48"/>
      <c r="C10" s="50"/>
      <c r="D10" s="49"/>
      <c r="E10" s="49"/>
      <c r="F10" s="48"/>
      <c r="G10" s="51"/>
      <c r="H10" s="48"/>
      <c r="I10" s="49"/>
      <c r="J10" s="48"/>
      <c r="K10" s="48"/>
      <c r="L10" s="48" t="e">
        <f>INDEX(RiskMatrix,MATCH(K10,RangeKemungkinan,0),MATCH(J10,RangeDampak,0))</f>
        <v>#N/A</v>
      </c>
      <c r="M10" s="48" t="e">
        <f>INDEX(RiskLevel,MATCH(K10,RangeKemungkinan,0),MATCH(J10,RangeDampak,0))</f>
        <v>#N/A</v>
      </c>
      <c r="N10" s="48"/>
      <c r="O10" s="49"/>
      <c r="P10" s="48"/>
      <c r="Q10" s="49"/>
      <c r="R10" s="49"/>
      <c r="S10" s="49"/>
      <c r="T10" s="49"/>
      <c r="U10" s="48"/>
      <c r="V10" s="48"/>
      <c r="W10" s="48"/>
      <c r="X10" s="48" t="str">
        <f>IF(U10="Ya",(INDEX(RiskMatrix,MATCH(W10,RangeKemungkinan,0),MATCH(V10,RangeDampak,0))),"N/A")</f>
        <v>N/A</v>
      </c>
      <c r="Y10" s="48" t="str">
        <f t="shared" si="2"/>
        <v>N/A</v>
      </c>
      <c r="Z10" s="51"/>
      <c r="AA10" s="49"/>
      <c r="AB10">
        <f>IF(Y10="Acceptable",1,0)</f>
        <v>0</v>
      </c>
      <c r="AC10">
        <f>IF(Y10="Not Acceptable",1,0)</f>
        <v>0</v>
      </c>
      <c r="AD10" s="43"/>
      <c r="AF10" s="30" t="str">
        <f>IF(ISNUMBER(L10),IF(L10&gt;=11,"Not Acceptable","Acceptable"),"N/A")</f>
        <v>N/A</v>
      </c>
      <c r="AG10" s="30">
        <f t="shared" si="0"/>
        <v>0</v>
      </c>
      <c r="AH10" s="30">
        <f t="shared" si="1"/>
        <v>0</v>
      </c>
    </row>
    <row r="11" spans="1:35" ht="44" customHeight="1" x14ac:dyDescent="0.35">
      <c r="A11" s="48" t="s">
        <v>177</v>
      </c>
      <c r="B11" s="48"/>
      <c r="C11" s="50"/>
      <c r="D11" s="49"/>
      <c r="E11" s="49"/>
      <c r="F11" s="48"/>
      <c r="G11" s="51"/>
      <c r="H11" s="48"/>
      <c r="I11" s="49"/>
      <c r="J11" s="48"/>
      <c r="K11" s="48"/>
      <c r="L11" s="48" t="e">
        <f>INDEX(RiskMatrix,MATCH(K11,RangeKemungkinan,0),MATCH(J11,RangeDampak,0))</f>
        <v>#N/A</v>
      </c>
      <c r="M11" s="48" t="e">
        <f>INDEX(RiskLevel,MATCH(K11,RangeKemungkinan,0),MATCH(J11,RangeDampak,0))</f>
        <v>#N/A</v>
      </c>
      <c r="N11" s="48"/>
      <c r="O11" s="49"/>
      <c r="P11" s="48"/>
      <c r="Q11" s="49"/>
      <c r="R11" s="49"/>
      <c r="S11" s="49"/>
      <c r="T11" s="49"/>
      <c r="U11" s="48"/>
      <c r="V11" s="48"/>
      <c r="W11" s="48"/>
      <c r="X11" s="48" t="str">
        <f>IF(U11="Ya",(INDEX(RiskMatrix,MATCH(W11,RangeKemungkinan,0),MATCH(V11,RangeDampak,0))),"N/A")</f>
        <v>N/A</v>
      </c>
      <c r="Y11" s="48" t="str">
        <f t="shared" si="2"/>
        <v>N/A</v>
      </c>
      <c r="Z11" s="51"/>
      <c r="AA11" s="49"/>
      <c r="AB11">
        <f>IF(Y11="Acceptable",1,0)</f>
        <v>0</v>
      </c>
      <c r="AC11">
        <f>IF(Y11="Not Acceptable",1,0)</f>
        <v>0</v>
      </c>
      <c r="AD11" s="43"/>
      <c r="AF11" s="30" t="str">
        <f>IF(ISNUMBER(L11),IF(L11&gt;=11,"Not Acceptable","Acceptable"),"N/A")</f>
        <v>N/A</v>
      </c>
      <c r="AG11" s="30">
        <f t="shared" si="0"/>
        <v>0</v>
      </c>
      <c r="AH11" s="30">
        <f t="shared" si="1"/>
        <v>0</v>
      </c>
    </row>
    <row r="12" spans="1:35" x14ac:dyDescent="0.35">
      <c r="AB12">
        <f>SUM(AB7:AB11)</f>
        <v>1</v>
      </c>
      <c r="AC12">
        <f>SUM(AC7:AC11)</f>
        <v>0</v>
      </c>
      <c r="AG12" s="30">
        <f>SUM(AG7:AG11)</f>
        <v>1</v>
      </c>
      <c r="AH12" s="30">
        <f>SUM(AH7:AH11)</f>
        <v>1</v>
      </c>
      <c r="AI12">
        <f>SUM(AG12:AH12)</f>
        <v>2</v>
      </c>
    </row>
  </sheetData>
  <mergeCells count="31">
    <mergeCell ref="D2:U2"/>
    <mergeCell ref="V2:W2"/>
    <mergeCell ref="Z3:AA3"/>
    <mergeCell ref="A4:A6"/>
    <mergeCell ref="B4:B6"/>
    <mergeCell ref="C4:H4"/>
    <mergeCell ref="I4:I6"/>
    <mergeCell ref="J4:M5"/>
    <mergeCell ref="N4:O4"/>
    <mergeCell ref="P4:U4"/>
    <mergeCell ref="U5:U6"/>
    <mergeCell ref="V4:Y4"/>
    <mergeCell ref="Z4:Z6"/>
    <mergeCell ref="AA4:AA6"/>
    <mergeCell ref="C5:C6"/>
    <mergeCell ref="D5:D6"/>
    <mergeCell ref="E5:E6"/>
    <mergeCell ref="F5:F6"/>
    <mergeCell ref="G5:G6"/>
    <mergeCell ref="H5:H6"/>
    <mergeCell ref="N5:N6"/>
    <mergeCell ref="O5:O6"/>
    <mergeCell ref="P5:P6"/>
    <mergeCell ref="Q5:Q6"/>
    <mergeCell ref="R5:R6"/>
    <mergeCell ref="S5:S6"/>
    <mergeCell ref="V5:V6"/>
    <mergeCell ref="W5:W6"/>
    <mergeCell ref="X5:X6"/>
    <mergeCell ref="Y5:Y6"/>
    <mergeCell ref="AB5:AD5"/>
  </mergeCells>
  <dataValidations count="6">
    <dataValidation type="list" allowBlank="1" showInputMessage="1" showErrorMessage="1" sqref="B7:B11" xr:uid="{32967155-C41F-4820-9856-86252807BD40}">
      <formula1>"Positif, Negatif"</formula1>
    </dataValidation>
    <dataValidation type="list" allowBlank="1" showInputMessage="1" showErrorMessage="1" sqref="N7:N11 U7:U11" xr:uid="{AB91E83E-7BD8-49CC-82CB-787BBBBDA358}">
      <formula1>"Ya, Tidak"</formula1>
    </dataValidation>
    <dataValidation type="list" allowBlank="1" showInputMessage="1" showErrorMessage="1" sqref="P7:P11" xr:uid="{2EBEE35E-BA27-48B1-A0DD-317B7256EE66}">
      <formula1>"Eskalasi Risiko, Mitigasi Risiko, Transfer Risiko, Penghindaran Risiko, Penerimaan Risiko"</formula1>
    </dataValidation>
    <dataValidation type="list" allowBlank="1" showInputMessage="1" showErrorMessage="1" sqref="H7:H11" xr:uid="{0536730E-E8BB-43A8-B611-6D60082B7A70}">
      <formula1>"Finansial, Reputasi, Kinerja, Layanan Organisasi, Operasional dan Aset TIK, Hukum dan Regulasi, SDM"</formula1>
    </dataValidation>
    <dataValidation type="list" allowBlank="1" showInputMessage="1" showErrorMessage="1" sqref="J7:J11 V7:V11" xr:uid="{4C26CA69-D123-45C9-B15B-B597673102AB}">
      <formula1>"Tidak Signifikan, Kurang Signifikan, Cukup Signifikan, Signifikan, Sangat Signifikan"</formula1>
    </dataValidation>
    <dataValidation type="list" allowBlank="1" showInputMessage="1" showErrorMessage="1" sqref="K7:K11 W7:W11" xr:uid="{4A52AEFF-E1D8-4799-8F0F-CB846BC37DCD}">
      <formula1>"Hampir Tidak Terjadi, Jarang Terjadi, Kadang-Kadang Terjadi, Sering Terjadi, Hampir Pasti Terjadi"</formula1>
    </dataValidation>
  </dataValidations>
  <pageMargins left="0.70866141732283461" right="0.70866141732283461" top="0.74803149606299213" bottom="0.74803149606299213" header="0.31496062992125984" footer="0.31496062992125984"/>
  <pageSetup paperSize="9" scale="23" orientation="landscape"/>
  <headerFooter>
    <oddFooter>&amp;LFRM-I.1.7/002 Daftar Resiko Keamanan Informasi - Information Aset&amp;CHalaman &amp;P dari &amp;N</oddFooter>
  </headerFooter>
  <rowBreaks count="1" manualBreakCount="1">
    <brk id="11" max="18" man="1"/>
  </rowBreaks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27A59-6041-42D3-9E97-6C270E81E941}">
          <x14:formula1>
            <xm:f>'List Kategori Risiko Keamanan'!$A$2:$A$13</xm:f>
          </x14:formula1>
          <xm:sqref>F1 F3:F1048576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/>
  <dimension ref="B3:T131"/>
  <sheetViews>
    <sheetView topLeftCell="A34" zoomScale="77" zoomScaleNormal="77" workbookViewId="0">
      <selection activeCell="F35" sqref="F35:Q35"/>
    </sheetView>
  </sheetViews>
  <sheetFormatPr defaultColWidth="10.81640625" defaultRowHeight="15.5" x14ac:dyDescent="0.35"/>
  <cols>
    <col min="1" max="2" width="6.81640625" style="52" customWidth="1"/>
    <col min="3" max="3" width="5.81640625" style="52" customWidth="1"/>
    <col min="4" max="4" width="4.81640625" style="52" customWidth="1"/>
    <col min="5" max="5" width="14.81640625" style="52" customWidth="1"/>
    <col min="6" max="10" width="10.81640625" style="52"/>
    <col min="11" max="11" width="13.7265625" style="52" customWidth="1"/>
    <col min="12" max="17" width="10.81640625" style="52"/>
    <col min="18" max="19" width="0" style="52" hidden="1" customWidth="1"/>
    <col min="20" max="16384" width="10.81640625" style="52"/>
  </cols>
  <sheetData>
    <row r="3" spans="3:10" ht="16" customHeight="1" x14ac:dyDescent="0.35">
      <c r="C3" s="164" t="s">
        <v>73</v>
      </c>
      <c r="D3" s="164"/>
      <c r="E3" s="164"/>
      <c r="F3" s="151" t="s">
        <v>74</v>
      </c>
      <c r="G3" s="151"/>
      <c r="H3" s="151"/>
      <c r="I3" s="151"/>
      <c r="J3" s="151"/>
    </row>
    <row r="4" spans="3:10" x14ac:dyDescent="0.35">
      <c r="C4" s="164"/>
      <c r="D4" s="164"/>
      <c r="E4" s="164"/>
      <c r="F4" s="54">
        <v>1</v>
      </c>
      <c r="G4" s="54">
        <v>2</v>
      </c>
      <c r="H4" s="54">
        <v>3</v>
      </c>
      <c r="I4" s="54">
        <v>4</v>
      </c>
      <c r="J4" s="54">
        <v>5</v>
      </c>
    </row>
    <row r="5" spans="3:10" ht="31" x14ac:dyDescent="0.35">
      <c r="C5" s="164"/>
      <c r="D5" s="164"/>
      <c r="E5" s="164"/>
      <c r="F5" s="53" t="s">
        <v>75</v>
      </c>
      <c r="G5" s="53" t="s">
        <v>76</v>
      </c>
      <c r="H5" s="53" t="s">
        <v>77</v>
      </c>
      <c r="I5" s="53" t="s">
        <v>78</v>
      </c>
      <c r="J5" s="53" t="s">
        <v>79</v>
      </c>
    </row>
    <row r="6" spans="3:10" ht="36" customHeight="1" x14ac:dyDescent="0.35">
      <c r="C6" s="162" t="s">
        <v>80</v>
      </c>
      <c r="D6" s="55">
        <v>1</v>
      </c>
      <c r="E6" s="53" t="s">
        <v>81</v>
      </c>
      <c r="F6" s="56">
        <v>1</v>
      </c>
      <c r="G6" s="56">
        <v>3</v>
      </c>
      <c r="H6" s="56">
        <v>5</v>
      </c>
      <c r="I6" s="57">
        <v>8</v>
      </c>
      <c r="J6" s="58">
        <v>20</v>
      </c>
    </row>
    <row r="7" spans="3:10" ht="36" customHeight="1" x14ac:dyDescent="0.35">
      <c r="C7" s="162"/>
      <c r="D7" s="55">
        <v>2</v>
      </c>
      <c r="E7" s="53" t="s">
        <v>82</v>
      </c>
      <c r="F7" s="56">
        <v>2</v>
      </c>
      <c r="G7" s="57">
        <v>7</v>
      </c>
      <c r="H7" s="59">
        <v>11</v>
      </c>
      <c r="I7" s="59">
        <v>13</v>
      </c>
      <c r="J7" s="60">
        <v>21</v>
      </c>
    </row>
    <row r="8" spans="3:10" ht="36" customHeight="1" x14ac:dyDescent="0.35">
      <c r="C8" s="162"/>
      <c r="D8" s="55">
        <v>3</v>
      </c>
      <c r="E8" s="53" t="s">
        <v>83</v>
      </c>
      <c r="F8" s="56">
        <v>4</v>
      </c>
      <c r="G8" s="57">
        <v>10</v>
      </c>
      <c r="H8" s="59">
        <v>14</v>
      </c>
      <c r="I8" s="58">
        <v>17</v>
      </c>
      <c r="J8" s="60">
        <v>22</v>
      </c>
    </row>
    <row r="9" spans="3:10" ht="36" customHeight="1" x14ac:dyDescent="0.35">
      <c r="C9" s="162"/>
      <c r="D9" s="55">
        <v>4</v>
      </c>
      <c r="E9" s="53" t="s">
        <v>84</v>
      </c>
      <c r="F9" s="57">
        <v>6</v>
      </c>
      <c r="G9" s="59">
        <v>12</v>
      </c>
      <c r="H9" s="58">
        <v>16</v>
      </c>
      <c r="I9" s="58">
        <v>19</v>
      </c>
      <c r="J9" s="60">
        <v>24</v>
      </c>
    </row>
    <row r="10" spans="3:10" ht="36" customHeight="1" x14ac:dyDescent="0.35">
      <c r="C10" s="162"/>
      <c r="D10" s="55">
        <v>5</v>
      </c>
      <c r="E10" s="53" t="s">
        <v>85</v>
      </c>
      <c r="F10" s="57">
        <v>9</v>
      </c>
      <c r="G10" s="59">
        <v>15</v>
      </c>
      <c r="H10" s="58">
        <v>18</v>
      </c>
      <c r="I10" s="60">
        <v>23</v>
      </c>
      <c r="J10" s="60">
        <v>25</v>
      </c>
    </row>
    <row r="12" spans="3:10" ht="16" customHeight="1" x14ac:dyDescent="0.35">
      <c r="C12" s="165" t="s">
        <v>73</v>
      </c>
      <c r="D12" s="166"/>
      <c r="E12" s="167"/>
      <c r="F12" s="151" t="s">
        <v>74</v>
      </c>
      <c r="G12" s="151"/>
      <c r="H12" s="151"/>
      <c r="I12" s="151"/>
      <c r="J12" s="151"/>
    </row>
    <row r="13" spans="3:10" x14ac:dyDescent="0.35">
      <c r="C13" s="168"/>
      <c r="D13" s="169"/>
      <c r="E13" s="170"/>
      <c r="F13" s="54">
        <v>1</v>
      </c>
      <c r="G13" s="54">
        <v>2</v>
      </c>
      <c r="H13" s="54">
        <v>3</v>
      </c>
      <c r="I13" s="54">
        <v>4</v>
      </c>
      <c r="J13" s="54">
        <v>5</v>
      </c>
    </row>
    <row r="14" spans="3:10" ht="31" x14ac:dyDescent="0.35">
      <c r="C14" s="171"/>
      <c r="D14" s="172"/>
      <c r="E14" s="173"/>
      <c r="F14" s="53" t="s">
        <v>75</v>
      </c>
      <c r="G14" s="53" t="s">
        <v>76</v>
      </c>
      <c r="H14" s="53" t="s">
        <v>77</v>
      </c>
      <c r="I14" s="53" t="s">
        <v>78</v>
      </c>
      <c r="J14" s="53" t="s">
        <v>79</v>
      </c>
    </row>
    <row r="15" spans="3:10" ht="34" customHeight="1" x14ac:dyDescent="0.35">
      <c r="C15" s="162" t="s">
        <v>80</v>
      </c>
      <c r="D15" s="55">
        <v>1</v>
      </c>
      <c r="E15" s="53" t="s">
        <v>81</v>
      </c>
      <c r="F15" s="61" t="s">
        <v>86</v>
      </c>
      <c r="G15" s="61" t="s">
        <v>87</v>
      </c>
      <c r="H15" s="61" t="s">
        <v>88</v>
      </c>
      <c r="I15" s="62" t="s">
        <v>88</v>
      </c>
      <c r="J15" s="63" t="s">
        <v>89</v>
      </c>
    </row>
    <row r="16" spans="3:10" ht="31" x14ac:dyDescent="0.35">
      <c r="C16" s="162"/>
      <c r="D16" s="55">
        <v>2</v>
      </c>
      <c r="E16" s="53" t="s">
        <v>82</v>
      </c>
      <c r="F16" s="61" t="s">
        <v>86</v>
      </c>
      <c r="G16" s="62" t="s">
        <v>87</v>
      </c>
      <c r="H16" s="64" t="s">
        <v>88</v>
      </c>
      <c r="I16" s="64" t="s">
        <v>88</v>
      </c>
      <c r="J16" s="65" t="s">
        <v>90</v>
      </c>
    </row>
    <row r="17" spans="3:10" ht="31" x14ac:dyDescent="0.35">
      <c r="C17" s="162"/>
      <c r="D17" s="55">
        <v>3</v>
      </c>
      <c r="E17" s="53" t="s">
        <v>83</v>
      </c>
      <c r="F17" s="61" t="s">
        <v>86</v>
      </c>
      <c r="G17" s="62" t="s">
        <v>87</v>
      </c>
      <c r="H17" s="64" t="s">
        <v>88</v>
      </c>
      <c r="I17" s="63" t="s">
        <v>89</v>
      </c>
      <c r="J17" s="65" t="s">
        <v>90</v>
      </c>
    </row>
    <row r="18" spans="3:10" ht="31" x14ac:dyDescent="0.35">
      <c r="C18" s="162"/>
      <c r="D18" s="55">
        <v>4</v>
      </c>
      <c r="E18" s="53" t="s">
        <v>84</v>
      </c>
      <c r="F18" s="62" t="s">
        <v>87</v>
      </c>
      <c r="G18" s="64" t="s">
        <v>88</v>
      </c>
      <c r="H18" s="63" t="s">
        <v>89</v>
      </c>
      <c r="I18" s="63" t="s">
        <v>89</v>
      </c>
      <c r="J18" s="65" t="s">
        <v>90</v>
      </c>
    </row>
    <row r="19" spans="3:10" ht="31" x14ac:dyDescent="0.35">
      <c r="C19" s="162"/>
      <c r="D19" s="55">
        <v>5</v>
      </c>
      <c r="E19" s="53" t="s">
        <v>85</v>
      </c>
      <c r="F19" s="62" t="s">
        <v>87</v>
      </c>
      <c r="G19" s="64" t="s">
        <v>88</v>
      </c>
      <c r="H19" s="63" t="s">
        <v>89</v>
      </c>
      <c r="I19" s="65" t="s">
        <v>90</v>
      </c>
      <c r="J19" s="65" t="s">
        <v>90</v>
      </c>
    </row>
    <row r="21" spans="3:10" x14ac:dyDescent="0.35">
      <c r="C21" s="155" t="s">
        <v>50</v>
      </c>
      <c r="D21" s="155"/>
      <c r="E21" s="155"/>
      <c r="F21" s="155"/>
      <c r="G21" s="155" t="s">
        <v>91</v>
      </c>
      <c r="H21" s="155"/>
      <c r="I21" s="155" t="s">
        <v>92</v>
      </c>
      <c r="J21" s="155"/>
    </row>
    <row r="22" spans="3:10" x14ac:dyDescent="0.35">
      <c r="C22" s="54">
        <v>1</v>
      </c>
      <c r="D22" s="156" t="s">
        <v>86</v>
      </c>
      <c r="E22" s="156"/>
      <c r="F22" s="156"/>
      <c r="G22" s="157" t="s">
        <v>93</v>
      </c>
      <c r="H22" s="157"/>
      <c r="I22" s="163"/>
      <c r="J22" s="163"/>
    </row>
    <row r="23" spans="3:10" x14ac:dyDescent="0.35">
      <c r="C23" s="54">
        <v>2</v>
      </c>
      <c r="D23" s="156" t="s">
        <v>87</v>
      </c>
      <c r="E23" s="156"/>
      <c r="F23" s="156"/>
      <c r="G23" s="157" t="s">
        <v>94</v>
      </c>
      <c r="H23" s="157"/>
      <c r="I23" s="160"/>
      <c r="J23" s="160"/>
    </row>
    <row r="24" spans="3:10" x14ac:dyDescent="0.35">
      <c r="C24" s="54">
        <v>3</v>
      </c>
      <c r="D24" s="156" t="s">
        <v>88</v>
      </c>
      <c r="E24" s="156"/>
      <c r="F24" s="156"/>
      <c r="G24" s="157" t="s">
        <v>95</v>
      </c>
      <c r="H24" s="157"/>
      <c r="I24" s="161"/>
      <c r="J24" s="161"/>
    </row>
    <row r="25" spans="3:10" x14ac:dyDescent="0.35">
      <c r="C25" s="54">
        <v>4</v>
      </c>
      <c r="D25" s="156" t="s">
        <v>89</v>
      </c>
      <c r="E25" s="156"/>
      <c r="F25" s="156"/>
      <c r="G25" s="157" t="s">
        <v>96</v>
      </c>
      <c r="H25" s="157"/>
      <c r="I25" s="158"/>
      <c r="J25" s="158"/>
    </row>
    <row r="26" spans="3:10" x14ac:dyDescent="0.35">
      <c r="C26" s="54">
        <v>5</v>
      </c>
      <c r="D26" s="156" t="s">
        <v>90</v>
      </c>
      <c r="E26" s="156"/>
      <c r="F26" s="156"/>
      <c r="G26" s="157" t="s">
        <v>97</v>
      </c>
      <c r="H26" s="157"/>
      <c r="I26" s="159"/>
      <c r="J26" s="159"/>
    </row>
    <row r="28" spans="3:10" x14ac:dyDescent="0.35">
      <c r="C28" s="152" t="s">
        <v>45</v>
      </c>
      <c r="D28" s="153"/>
      <c r="E28" s="154"/>
      <c r="F28" s="155" t="s">
        <v>98</v>
      </c>
      <c r="G28" s="155"/>
      <c r="H28" s="155"/>
      <c r="I28" s="155"/>
    </row>
    <row r="29" spans="3:10" x14ac:dyDescent="0.35">
      <c r="C29" s="54">
        <v>1</v>
      </c>
      <c r="D29" s="66" t="s">
        <v>81</v>
      </c>
      <c r="E29" s="66"/>
      <c r="F29" s="151" t="s">
        <v>99</v>
      </c>
      <c r="G29" s="151"/>
      <c r="H29" s="151" t="s">
        <v>100</v>
      </c>
      <c r="I29" s="151"/>
    </row>
    <row r="30" spans="3:10" x14ac:dyDescent="0.35">
      <c r="C30" s="54">
        <v>2</v>
      </c>
      <c r="D30" s="66" t="s">
        <v>82</v>
      </c>
      <c r="E30" s="66"/>
      <c r="F30" s="151" t="s">
        <v>101</v>
      </c>
      <c r="G30" s="151"/>
      <c r="H30" s="151" t="s">
        <v>102</v>
      </c>
      <c r="I30" s="151"/>
    </row>
    <row r="31" spans="3:10" x14ac:dyDescent="0.35">
      <c r="C31" s="54">
        <v>3</v>
      </c>
      <c r="D31" s="66" t="s">
        <v>83</v>
      </c>
      <c r="E31" s="66"/>
      <c r="F31" s="151" t="s">
        <v>103</v>
      </c>
      <c r="G31" s="151"/>
      <c r="H31" s="151" t="s">
        <v>104</v>
      </c>
      <c r="I31" s="151"/>
    </row>
    <row r="32" spans="3:10" x14ac:dyDescent="0.35">
      <c r="C32" s="54">
        <v>4</v>
      </c>
      <c r="D32" s="66" t="s">
        <v>84</v>
      </c>
      <c r="E32" s="66"/>
      <c r="F32" s="151" t="s">
        <v>105</v>
      </c>
      <c r="G32" s="151"/>
      <c r="H32" s="151" t="s">
        <v>106</v>
      </c>
      <c r="I32" s="151"/>
    </row>
    <row r="33" spans="3:20" x14ac:dyDescent="0.35">
      <c r="C33" s="54">
        <v>5</v>
      </c>
      <c r="D33" s="66" t="s">
        <v>85</v>
      </c>
      <c r="E33" s="66"/>
      <c r="F33" s="151" t="s">
        <v>107</v>
      </c>
      <c r="G33" s="151"/>
      <c r="H33" s="151" t="s">
        <v>108</v>
      </c>
      <c r="I33" s="151"/>
    </row>
    <row r="35" spans="3:20" ht="31" customHeight="1" x14ac:dyDescent="0.35">
      <c r="C35" s="150" t="s">
        <v>37</v>
      </c>
      <c r="D35" s="150"/>
      <c r="E35" s="150"/>
      <c r="F35" s="150" t="s">
        <v>109</v>
      </c>
      <c r="G35" s="150"/>
      <c r="H35" s="150" t="s">
        <v>110</v>
      </c>
      <c r="I35" s="150"/>
      <c r="J35" s="150" t="s">
        <v>111</v>
      </c>
      <c r="K35" s="150"/>
      <c r="L35" s="150" t="s">
        <v>112</v>
      </c>
      <c r="M35" s="150"/>
      <c r="N35" s="150" t="s">
        <v>113</v>
      </c>
      <c r="O35" s="150"/>
      <c r="P35" s="150" t="s">
        <v>114</v>
      </c>
      <c r="Q35" s="150"/>
      <c r="R35" s="150" t="s">
        <v>115</v>
      </c>
      <c r="S35" s="150"/>
      <c r="T35" s="67" t="s">
        <v>116</v>
      </c>
    </row>
    <row r="36" spans="3:20" ht="86" customHeight="1" x14ac:dyDescent="0.35">
      <c r="C36" s="68">
        <v>1</v>
      </c>
      <c r="D36" s="69" t="s">
        <v>75</v>
      </c>
      <c r="E36" s="69"/>
      <c r="F36" s="149" t="s">
        <v>117</v>
      </c>
      <c r="G36" s="149"/>
      <c r="H36" s="147" t="s">
        <v>118</v>
      </c>
      <c r="I36" s="147"/>
      <c r="J36" s="148" t="s">
        <v>119</v>
      </c>
      <c r="K36" s="148"/>
      <c r="L36" s="147" t="s">
        <v>120</v>
      </c>
      <c r="M36" s="147"/>
      <c r="N36" s="148" t="s">
        <v>121</v>
      </c>
      <c r="O36" s="148"/>
      <c r="P36" s="147" t="s">
        <v>122</v>
      </c>
      <c r="Q36" s="147"/>
      <c r="R36" s="148" t="s">
        <v>123</v>
      </c>
      <c r="S36" s="148"/>
    </row>
    <row r="37" spans="3:20" ht="94" customHeight="1" x14ac:dyDescent="0.35">
      <c r="C37" s="68">
        <v>2</v>
      </c>
      <c r="D37" s="69" t="s">
        <v>76</v>
      </c>
      <c r="E37" s="69"/>
      <c r="F37" s="149" t="s">
        <v>124</v>
      </c>
      <c r="G37" s="149"/>
      <c r="H37" s="147" t="s">
        <v>125</v>
      </c>
      <c r="I37" s="147"/>
      <c r="J37" s="148" t="s">
        <v>126</v>
      </c>
      <c r="K37" s="148"/>
      <c r="L37" s="147" t="s">
        <v>127</v>
      </c>
      <c r="M37" s="147"/>
      <c r="N37" s="148" t="s">
        <v>128</v>
      </c>
      <c r="O37" s="148"/>
      <c r="P37" s="147" t="s">
        <v>129</v>
      </c>
      <c r="Q37" s="147"/>
      <c r="R37" s="148" t="s">
        <v>123</v>
      </c>
      <c r="S37" s="148"/>
    </row>
    <row r="38" spans="3:20" ht="63" customHeight="1" x14ac:dyDescent="0.35">
      <c r="C38" s="68">
        <v>3</v>
      </c>
      <c r="D38" s="69" t="s">
        <v>77</v>
      </c>
      <c r="E38" s="69"/>
      <c r="F38" s="149" t="s">
        <v>130</v>
      </c>
      <c r="G38" s="149"/>
      <c r="H38" s="147" t="s">
        <v>131</v>
      </c>
      <c r="I38" s="147"/>
      <c r="J38" s="148" t="s">
        <v>132</v>
      </c>
      <c r="K38" s="148"/>
      <c r="L38" s="147" t="s">
        <v>133</v>
      </c>
      <c r="M38" s="147"/>
      <c r="N38" s="148" t="s">
        <v>134</v>
      </c>
      <c r="O38" s="148"/>
      <c r="P38" s="147" t="s">
        <v>135</v>
      </c>
      <c r="Q38" s="147"/>
      <c r="R38" s="148" t="s">
        <v>123</v>
      </c>
      <c r="S38" s="148"/>
    </row>
    <row r="39" spans="3:20" ht="63" customHeight="1" x14ac:dyDescent="0.35">
      <c r="C39" s="68">
        <v>4</v>
      </c>
      <c r="D39" s="69" t="s">
        <v>78</v>
      </c>
      <c r="E39" s="69"/>
      <c r="F39" s="149" t="s">
        <v>136</v>
      </c>
      <c r="G39" s="149"/>
      <c r="H39" s="147" t="s">
        <v>137</v>
      </c>
      <c r="I39" s="147"/>
      <c r="J39" s="148" t="s">
        <v>138</v>
      </c>
      <c r="K39" s="148"/>
      <c r="L39" s="147" t="s">
        <v>139</v>
      </c>
      <c r="M39" s="147"/>
      <c r="N39" s="148" t="s">
        <v>140</v>
      </c>
      <c r="O39" s="148"/>
      <c r="P39" s="147" t="s">
        <v>141</v>
      </c>
      <c r="Q39" s="147"/>
      <c r="R39" s="148" t="s">
        <v>123</v>
      </c>
      <c r="S39" s="148"/>
    </row>
    <row r="40" spans="3:20" ht="64" customHeight="1" x14ac:dyDescent="0.35">
      <c r="C40" s="68">
        <v>5</v>
      </c>
      <c r="D40" s="69" t="s">
        <v>79</v>
      </c>
      <c r="E40" s="69"/>
      <c r="F40" s="149" t="s">
        <v>142</v>
      </c>
      <c r="G40" s="149"/>
      <c r="H40" s="147" t="s">
        <v>143</v>
      </c>
      <c r="I40" s="147"/>
      <c r="J40" s="148" t="s">
        <v>144</v>
      </c>
      <c r="K40" s="148"/>
      <c r="L40" s="147" t="s">
        <v>145</v>
      </c>
      <c r="M40" s="147"/>
      <c r="N40" s="148" t="s">
        <v>146</v>
      </c>
      <c r="O40" s="148"/>
      <c r="P40" s="147" t="s">
        <v>147</v>
      </c>
      <c r="Q40" s="147"/>
      <c r="R40" s="148" t="s">
        <v>123</v>
      </c>
      <c r="S40" s="148"/>
    </row>
    <row r="41" spans="3:20" x14ac:dyDescent="0.35">
      <c r="C41" s="70"/>
    </row>
    <row r="43" spans="3:20" x14ac:dyDescent="0.35">
      <c r="C43" s="67"/>
      <c r="G43" s="67"/>
    </row>
    <row r="47" spans="3:20" x14ac:dyDescent="0.35">
      <c r="G47" s="67"/>
    </row>
    <row r="51" spans="3:10" x14ac:dyDescent="0.35">
      <c r="C51" s="67"/>
      <c r="G51" s="67"/>
      <c r="J51" s="67"/>
    </row>
    <row r="60" spans="3:10" x14ac:dyDescent="0.35">
      <c r="C60" s="67"/>
    </row>
    <row r="70" spans="2:13" x14ac:dyDescent="0.35">
      <c r="B70" s="71"/>
      <c r="C70" s="72"/>
      <c r="D70" s="71"/>
      <c r="E70" s="71"/>
      <c r="F70" s="71"/>
      <c r="G70" s="71"/>
      <c r="H70" s="71"/>
      <c r="I70" s="71"/>
      <c r="J70" s="71"/>
      <c r="K70" s="71"/>
      <c r="L70" s="71"/>
      <c r="M70" s="71"/>
    </row>
    <row r="71" spans="2:13" x14ac:dyDescent="0.35">
      <c r="B71" s="71"/>
      <c r="C71" s="73"/>
      <c r="D71" s="71"/>
      <c r="E71" s="71"/>
      <c r="F71" s="71"/>
      <c r="G71" s="71"/>
      <c r="H71" s="71"/>
      <c r="I71" s="71"/>
      <c r="J71" s="71"/>
      <c r="K71" s="71"/>
      <c r="L71" s="71"/>
      <c r="M71" s="71"/>
    </row>
    <row r="72" spans="2:13" x14ac:dyDescent="0.35">
      <c r="B72" s="71"/>
      <c r="C72" s="73"/>
      <c r="D72" s="71"/>
      <c r="E72" s="71"/>
      <c r="F72" s="71"/>
      <c r="G72" s="71"/>
      <c r="H72" s="71"/>
      <c r="I72" s="71"/>
      <c r="J72" s="71"/>
      <c r="K72" s="71"/>
      <c r="L72" s="71"/>
      <c r="M72" s="71"/>
    </row>
    <row r="73" spans="2:13" x14ac:dyDescent="0.35">
      <c r="B73" s="71"/>
      <c r="C73" s="73"/>
      <c r="D73" s="71"/>
      <c r="E73" s="71"/>
      <c r="F73" s="71"/>
      <c r="G73" s="71"/>
      <c r="H73" s="71"/>
      <c r="I73" s="71"/>
      <c r="J73" s="71"/>
      <c r="K73" s="71"/>
      <c r="L73" s="71"/>
      <c r="M73" s="71"/>
    </row>
    <row r="74" spans="2:13" x14ac:dyDescent="0.35">
      <c r="B74" s="71"/>
      <c r="C74" s="73"/>
      <c r="D74" s="71"/>
      <c r="E74" s="71"/>
      <c r="F74" s="71"/>
      <c r="G74" s="71"/>
      <c r="H74" s="71"/>
      <c r="I74" s="71"/>
      <c r="J74" s="71"/>
      <c r="K74" s="71"/>
      <c r="L74" s="71"/>
      <c r="M74" s="71"/>
    </row>
    <row r="75" spans="2:13" x14ac:dyDescent="0.35">
      <c r="B75" s="71"/>
      <c r="C75" s="73"/>
      <c r="D75" s="71"/>
      <c r="E75" s="71"/>
      <c r="F75" s="71"/>
      <c r="G75" s="71"/>
      <c r="H75" s="71"/>
      <c r="I75" s="71"/>
      <c r="J75" s="71"/>
      <c r="K75" s="71"/>
      <c r="L75" s="71"/>
      <c r="M75" s="71"/>
    </row>
    <row r="76" spans="2:13" x14ac:dyDescent="0.35">
      <c r="B76" s="71"/>
      <c r="C76" s="73"/>
      <c r="D76" s="71"/>
      <c r="E76" s="71"/>
      <c r="F76" s="71"/>
      <c r="G76" s="71"/>
      <c r="H76" s="71"/>
      <c r="I76" s="71"/>
      <c r="J76" s="71"/>
      <c r="K76" s="71"/>
      <c r="L76" s="71"/>
      <c r="M76" s="71"/>
    </row>
    <row r="77" spans="2:13" x14ac:dyDescent="0.35">
      <c r="B77" s="71"/>
      <c r="C77" s="73"/>
      <c r="D77" s="71"/>
      <c r="E77" s="71"/>
      <c r="F77" s="71"/>
      <c r="G77" s="71"/>
      <c r="H77" s="71"/>
      <c r="I77" s="71"/>
      <c r="J77" s="71"/>
      <c r="K77" s="71"/>
      <c r="L77" s="71"/>
      <c r="M77" s="71"/>
    </row>
    <row r="78" spans="2:13" x14ac:dyDescent="0.35">
      <c r="B78" s="71"/>
      <c r="C78" s="73"/>
      <c r="D78" s="71"/>
      <c r="E78" s="71"/>
      <c r="F78" s="71"/>
      <c r="G78" s="71"/>
      <c r="H78" s="71"/>
      <c r="I78" s="71"/>
      <c r="J78" s="71"/>
      <c r="K78" s="71"/>
      <c r="L78" s="71"/>
      <c r="M78" s="71"/>
    </row>
    <row r="79" spans="2:13" x14ac:dyDescent="0.35">
      <c r="B79" s="71"/>
      <c r="C79" s="73"/>
      <c r="D79" s="71"/>
      <c r="E79" s="71"/>
      <c r="F79" s="71"/>
      <c r="G79" s="71"/>
      <c r="H79" s="71"/>
      <c r="I79" s="71"/>
      <c r="J79" s="71"/>
      <c r="K79" s="71"/>
      <c r="L79" s="71"/>
      <c r="M79" s="71"/>
    </row>
    <row r="80" spans="2:13" x14ac:dyDescent="0.35">
      <c r="B80" s="71"/>
      <c r="C80" s="73"/>
      <c r="D80" s="71"/>
      <c r="E80" s="71"/>
      <c r="F80" s="71"/>
      <c r="G80" s="71"/>
      <c r="H80" s="71"/>
      <c r="I80" s="71"/>
      <c r="J80" s="71"/>
      <c r="K80" s="71"/>
      <c r="L80" s="71"/>
      <c r="M80" s="71"/>
    </row>
    <row r="81" spans="2:13" x14ac:dyDescent="0.35">
      <c r="B81" s="71"/>
      <c r="C81" s="73"/>
      <c r="D81" s="71"/>
      <c r="E81" s="71"/>
      <c r="F81" s="71"/>
      <c r="G81" s="71"/>
      <c r="H81" s="71"/>
      <c r="I81" s="71"/>
      <c r="J81" s="71"/>
      <c r="K81" s="71"/>
      <c r="L81" s="71"/>
      <c r="M81" s="71"/>
    </row>
    <row r="82" spans="2:13" x14ac:dyDescent="0.35">
      <c r="B82" s="71"/>
      <c r="C82" s="73"/>
      <c r="D82" s="71"/>
      <c r="E82" s="71"/>
      <c r="F82" s="71"/>
      <c r="G82" s="71"/>
      <c r="H82" s="71"/>
      <c r="I82" s="71"/>
      <c r="J82" s="71"/>
      <c r="K82" s="71"/>
      <c r="L82" s="71"/>
      <c r="M82" s="71"/>
    </row>
    <row r="83" spans="2:13" x14ac:dyDescent="0.35">
      <c r="B83" s="71"/>
      <c r="C83" s="73"/>
      <c r="D83" s="71"/>
      <c r="E83" s="71"/>
      <c r="F83" s="71"/>
      <c r="G83" s="71"/>
      <c r="H83" s="71"/>
      <c r="I83" s="71"/>
      <c r="J83" s="71"/>
      <c r="K83" s="71"/>
      <c r="L83" s="71"/>
      <c r="M83" s="71"/>
    </row>
    <row r="84" spans="2:13" x14ac:dyDescent="0.35">
      <c r="B84" s="71"/>
      <c r="C84" s="73"/>
      <c r="D84" s="71"/>
      <c r="E84" s="71"/>
      <c r="F84" s="71"/>
      <c r="G84" s="71"/>
      <c r="H84" s="71"/>
      <c r="I84" s="71"/>
      <c r="J84" s="71"/>
      <c r="K84" s="71"/>
      <c r="L84" s="71"/>
      <c r="M84" s="71"/>
    </row>
    <row r="85" spans="2:13" x14ac:dyDescent="0.35">
      <c r="B85" s="71"/>
      <c r="C85" s="73"/>
      <c r="D85" s="71"/>
      <c r="E85" s="71"/>
      <c r="F85" s="71"/>
      <c r="G85" s="71"/>
      <c r="H85" s="71"/>
      <c r="I85" s="71"/>
      <c r="J85" s="71"/>
      <c r="K85" s="71"/>
      <c r="L85" s="71"/>
      <c r="M85" s="71"/>
    </row>
    <row r="86" spans="2:13" x14ac:dyDescent="0.35">
      <c r="B86" s="71"/>
      <c r="C86" s="73"/>
      <c r="D86" s="71"/>
      <c r="E86" s="71"/>
      <c r="F86" s="71"/>
      <c r="G86" s="71"/>
      <c r="H86" s="71"/>
      <c r="I86" s="71"/>
      <c r="J86" s="71"/>
      <c r="K86" s="71"/>
      <c r="L86" s="71"/>
      <c r="M86" s="71"/>
    </row>
    <row r="87" spans="2:13" x14ac:dyDescent="0.35">
      <c r="B87" s="71"/>
      <c r="C87" s="73"/>
      <c r="D87" s="71"/>
      <c r="E87" s="71"/>
      <c r="F87" s="71"/>
      <c r="G87" s="71"/>
      <c r="H87" s="71"/>
      <c r="I87" s="71"/>
      <c r="J87" s="71"/>
      <c r="K87" s="71"/>
      <c r="L87" s="71"/>
      <c r="M87" s="71"/>
    </row>
    <row r="88" spans="2:13" x14ac:dyDescent="0.35">
      <c r="B88" s="71"/>
      <c r="C88" s="73"/>
      <c r="D88" s="71"/>
      <c r="E88" s="71"/>
      <c r="F88" s="71"/>
      <c r="G88" s="71"/>
      <c r="H88" s="71"/>
      <c r="I88" s="71"/>
      <c r="J88" s="71"/>
      <c r="K88" s="71"/>
      <c r="L88" s="71"/>
      <c r="M88" s="71"/>
    </row>
    <row r="89" spans="2:13" x14ac:dyDescent="0.35">
      <c r="B89" s="71"/>
      <c r="C89" s="73"/>
      <c r="D89" s="71"/>
      <c r="E89" s="71"/>
      <c r="F89" s="71"/>
      <c r="G89" s="71"/>
      <c r="H89" s="71"/>
      <c r="I89" s="71"/>
      <c r="J89" s="71"/>
      <c r="K89" s="71"/>
      <c r="L89" s="71"/>
      <c r="M89" s="71"/>
    </row>
    <row r="90" spans="2:13" x14ac:dyDescent="0.35">
      <c r="B90" s="71"/>
      <c r="C90" s="73"/>
      <c r="D90" s="71"/>
      <c r="E90" s="71"/>
      <c r="F90" s="71"/>
      <c r="G90" s="71"/>
      <c r="H90" s="71"/>
      <c r="I90" s="71"/>
      <c r="J90" s="71"/>
      <c r="K90" s="71"/>
      <c r="L90" s="71"/>
      <c r="M90" s="71"/>
    </row>
    <row r="91" spans="2:13" x14ac:dyDescent="0.35">
      <c r="B91" s="71"/>
      <c r="C91" s="73"/>
      <c r="D91" s="71"/>
      <c r="E91" s="71"/>
      <c r="F91" s="71"/>
      <c r="G91" s="71"/>
      <c r="H91" s="71"/>
      <c r="I91" s="71"/>
      <c r="J91" s="71"/>
      <c r="K91" s="71"/>
      <c r="L91" s="71"/>
      <c r="M91" s="71"/>
    </row>
    <row r="92" spans="2:13" x14ac:dyDescent="0.35">
      <c r="B92" s="71"/>
      <c r="C92" s="73"/>
      <c r="D92" s="71"/>
      <c r="E92" s="71"/>
      <c r="F92" s="71"/>
      <c r="G92" s="71"/>
      <c r="H92" s="71"/>
      <c r="I92" s="71"/>
      <c r="J92" s="71"/>
      <c r="K92" s="71"/>
      <c r="L92" s="71"/>
      <c r="M92" s="71"/>
    </row>
    <row r="93" spans="2:13" x14ac:dyDescent="0.35">
      <c r="B93" s="71"/>
      <c r="C93" s="73"/>
      <c r="D93" s="71"/>
      <c r="E93" s="71"/>
      <c r="F93" s="71"/>
      <c r="G93" s="71"/>
      <c r="H93" s="71"/>
      <c r="I93" s="71"/>
      <c r="J93" s="71"/>
      <c r="K93" s="71"/>
      <c r="L93" s="71"/>
      <c r="M93" s="71"/>
    </row>
    <row r="94" spans="2:13" x14ac:dyDescent="0.35">
      <c r="B94" s="71"/>
      <c r="C94" s="73"/>
      <c r="D94" s="71"/>
      <c r="E94" s="71"/>
      <c r="F94" s="71"/>
      <c r="G94" s="71"/>
      <c r="H94" s="71"/>
      <c r="I94" s="71"/>
      <c r="J94" s="71"/>
      <c r="K94" s="71"/>
      <c r="L94" s="71"/>
      <c r="M94" s="71"/>
    </row>
    <row r="95" spans="2:13" x14ac:dyDescent="0.35">
      <c r="B95" s="71"/>
      <c r="C95" s="73"/>
      <c r="D95" s="71"/>
      <c r="E95" s="71"/>
      <c r="F95" s="71"/>
      <c r="G95" s="71"/>
      <c r="H95" s="71"/>
      <c r="I95" s="71"/>
      <c r="J95" s="71"/>
      <c r="K95" s="71"/>
      <c r="L95" s="71"/>
      <c r="M95" s="71"/>
    </row>
    <row r="96" spans="2:13" x14ac:dyDescent="0.35">
      <c r="B96" s="71"/>
      <c r="C96" s="73"/>
      <c r="D96" s="71"/>
      <c r="E96" s="71"/>
      <c r="F96" s="71"/>
      <c r="G96" s="71"/>
      <c r="H96" s="71"/>
      <c r="I96" s="71"/>
      <c r="J96" s="71"/>
      <c r="K96" s="71"/>
      <c r="L96" s="71"/>
      <c r="M96" s="71"/>
    </row>
    <row r="97" spans="2:13" x14ac:dyDescent="0.35">
      <c r="B97" s="71"/>
      <c r="C97" s="73"/>
      <c r="D97" s="71"/>
      <c r="E97" s="71"/>
      <c r="F97" s="71"/>
      <c r="G97" s="71"/>
      <c r="H97" s="71"/>
      <c r="I97" s="71"/>
      <c r="J97" s="71"/>
      <c r="K97" s="71"/>
      <c r="L97" s="71"/>
      <c r="M97" s="71"/>
    </row>
    <row r="98" spans="2:13" x14ac:dyDescent="0.35">
      <c r="B98" s="71"/>
      <c r="C98" s="73"/>
      <c r="D98" s="71"/>
      <c r="E98" s="71"/>
      <c r="F98" s="71"/>
      <c r="G98" s="71"/>
      <c r="H98" s="71"/>
      <c r="I98" s="71"/>
      <c r="J98" s="71"/>
      <c r="K98" s="71"/>
      <c r="L98" s="71"/>
      <c r="M98" s="71"/>
    </row>
    <row r="99" spans="2:13" x14ac:dyDescent="0.35">
      <c r="B99" s="71"/>
      <c r="C99" s="73"/>
      <c r="D99" s="71"/>
      <c r="E99" s="71"/>
      <c r="F99" s="71"/>
      <c r="G99" s="71"/>
      <c r="H99" s="71"/>
      <c r="I99" s="71"/>
      <c r="J99" s="71"/>
      <c r="K99" s="71"/>
      <c r="L99" s="71"/>
      <c r="M99" s="71"/>
    </row>
    <row r="100" spans="2:13" x14ac:dyDescent="0.35">
      <c r="B100" s="71"/>
      <c r="C100" s="73"/>
      <c r="D100" s="71"/>
      <c r="E100" s="71"/>
      <c r="F100" s="71"/>
      <c r="G100" s="71"/>
      <c r="H100" s="71"/>
      <c r="I100" s="71"/>
      <c r="J100" s="71"/>
      <c r="K100" s="71"/>
      <c r="L100" s="71"/>
      <c r="M100" s="71"/>
    </row>
    <row r="101" spans="2:13" x14ac:dyDescent="0.35">
      <c r="B101" s="71"/>
      <c r="C101" s="73"/>
      <c r="D101" s="71"/>
      <c r="E101" s="71"/>
      <c r="F101" s="71"/>
      <c r="G101" s="71"/>
      <c r="H101" s="71"/>
      <c r="I101" s="71"/>
      <c r="J101" s="71"/>
      <c r="K101" s="71"/>
      <c r="L101" s="71"/>
      <c r="M101" s="71"/>
    </row>
    <row r="102" spans="2:13" x14ac:dyDescent="0.35">
      <c r="B102" s="71"/>
      <c r="C102" s="73"/>
      <c r="D102" s="71"/>
      <c r="E102" s="71"/>
      <c r="F102" s="71"/>
      <c r="G102" s="71"/>
      <c r="H102" s="71"/>
      <c r="I102" s="71"/>
      <c r="J102" s="71"/>
      <c r="K102" s="71"/>
      <c r="L102" s="71"/>
      <c r="M102" s="71"/>
    </row>
    <row r="103" spans="2:13" x14ac:dyDescent="0.35">
      <c r="B103" s="71"/>
      <c r="C103" s="73"/>
      <c r="D103" s="71"/>
      <c r="E103" s="71"/>
      <c r="F103" s="71"/>
      <c r="G103" s="71"/>
      <c r="H103" s="71"/>
      <c r="I103" s="71"/>
      <c r="J103" s="71"/>
      <c r="K103" s="71"/>
      <c r="L103" s="71"/>
      <c r="M103" s="71"/>
    </row>
    <row r="104" spans="2:13" x14ac:dyDescent="0.35">
      <c r="B104" s="71"/>
      <c r="C104" s="73"/>
      <c r="D104" s="71"/>
      <c r="E104" s="71"/>
      <c r="F104" s="71"/>
      <c r="G104" s="71"/>
      <c r="H104" s="71"/>
      <c r="I104" s="71"/>
      <c r="J104" s="71"/>
      <c r="K104" s="71"/>
      <c r="L104" s="71"/>
      <c r="M104" s="71"/>
    </row>
    <row r="105" spans="2:13" x14ac:dyDescent="0.35">
      <c r="B105" s="71"/>
      <c r="C105" s="73"/>
      <c r="D105" s="71"/>
      <c r="E105" s="71"/>
      <c r="F105" s="71"/>
      <c r="G105" s="71"/>
      <c r="H105" s="71"/>
      <c r="I105" s="71"/>
      <c r="J105" s="71"/>
      <c r="K105" s="71"/>
      <c r="L105" s="71"/>
      <c r="M105" s="71"/>
    </row>
    <row r="106" spans="2:13" x14ac:dyDescent="0.35">
      <c r="B106" s="71"/>
      <c r="C106" s="71"/>
      <c r="D106" s="71"/>
      <c r="E106" s="71"/>
      <c r="F106" s="71"/>
      <c r="G106" s="71"/>
      <c r="H106" s="71"/>
      <c r="I106" s="71"/>
      <c r="J106" s="71"/>
      <c r="K106" s="71"/>
      <c r="L106" s="71"/>
      <c r="M106" s="71"/>
    </row>
    <row r="107" spans="2:13" x14ac:dyDescent="0.35">
      <c r="B107" s="71"/>
      <c r="C107" s="71"/>
      <c r="D107" s="71"/>
      <c r="E107" s="71"/>
      <c r="F107" s="71"/>
      <c r="G107" s="71"/>
      <c r="H107" s="71"/>
      <c r="I107" s="71"/>
      <c r="J107" s="71"/>
      <c r="K107" s="71"/>
      <c r="L107" s="71"/>
      <c r="M107" s="71"/>
    </row>
    <row r="108" spans="2:13" x14ac:dyDescent="0.35">
      <c r="B108" s="71"/>
      <c r="C108" s="71"/>
      <c r="D108" s="71"/>
      <c r="E108" s="71"/>
      <c r="F108" s="71"/>
      <c r="G108" s="71"/>
      <c r="H108" s="71"/>
      <c r="I108" s="71"/>
      <c r="J108" s="71"/>
      <c r="K108" s="71"/>
      <c r="L108" s="71"/>
      <c r="M108" s="71"/>
    </row>
    <row r="109" spans="2:13" x14ac:dyDescent="0.35">
      <c r="B109" s="71"/>
      <c r="C109" s="71"/>
      <c r="D109" s="71"/>
      <c r="E109" s="71"/>
      <c r="F109" s="71"/>
      <c r="G109" s="71"/>
      <c r="H109" s="71"/>
      <c r="I109" s="71"/>
      <c r="J109" s="71"/>
      <c r="K109" s="71"/>
      <c r="L109" s="71"/>
      <c r="M109" s="71"/>
    </row>
    <row r="110" spans="2:13" x14ac:dyDescent="0.35">
      <c r="B110" s="71"/>
      <c r="C110" s="71"/>
      <c r="D110" s="71"/>
      <c r="E110" s="71"/>
      <c r="F110" s="71"/>
      <c r="G110" s="71"/>
      <c r="H110" s="71"/>
      <c r="I110" s="71"/>
      <c r="J110" s="71"/>
      <c r="K110" s="71"/>
      <c r="L110" s="71"/>
      <c r="M110" s="71"/>
    </row>
    <row r="111" spans="2:13" x14ac:dyDescent="0.35">
      <c r="B111" s="71"/>
      <c r="C111" s="71"/>
      <c r="D111" s="71"/>
      <c r="E111" s="71"/>
      <c r="F111" s="71"/>
      <c r="G111" s="71"/>
      <c r="H111" s="71"/>
      <c r="I111" s="71"/>
      <c r="J111" s="71"/>
      <c r="K111" s="71"/>
      <c r="L111" s="71"/>
      <c r="M111" s="71"/>
    </row>
    <row r="112" spans="2:13" x14ac:dyDescent="0.35">
      <c r="B112" s="71"/>
      <c r="C112" s="71"/>
      <c r="D112" s="71"/>
      <c r="E112" s="71"/>
      <c r="F112" s="71"/>
      <c r="G112" s="71"/>
      <c r="H112" s="71"/>
      <c r="I112" s="71"/>
      <c r="J112" s="71"/>
      <c r="K112" s="71"/>
      <c r="L112" s="71"/>
      <c r="M112" s="71"/>
    </row>
    <row r="113" spans="2:13" x14ac:dyDescent="0.35">
      <c r="B113" s="71"/>
      <c r="C113" s="71"/>
      <c r="D113" s="71"/>
      <c r="E113" s="71"/>
      <c r="F113" s="71"/>
      <c r="G113" s="71"/>
      <c r="H113" s="71"/>
      <c r="I113" s="71"/>
      <c r="J113" s="71"/>
      <c r="K113" s="71"/>
      <c r="L113" s="71"/>
      <c r="M113" s="71"/>
    </row>
    <row r="114" spans="2:13" x14ac:dyDescent="0.35">
      <c r="B114" s="71"/>
      <c r="C114" s="71"/>
      <c r="D114" s="71"/>
      <c r="E114" s="71"/>
      <c r="F114" s="71"/>
      <c r="G114" s="71"/>
      <c r="H114" s="71"/>
      <c r="I114" s="71"/>
      <c r="J114" s="71"/>
      <c r="K114" s="71"/>
      <c r="L114" s="71"/>
      <c r="M114" s="71"/>
    </row>
    <row r="115" spans="2:13" x14ac:dyDescent="0.35"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</row>
    <row r="116" spans="2:13" x14ac:dyDescent="0.35">
      <c r="B116" s="71"/>
      <c r="C116" s="71"/>
      <c r="D116" s="71"/>
      <c r="E116" s="71"/>
      <c r="F116" s="71"/>
      <c r="G116" s="71"/>
      <c r="H116" s="71"/>
      <c r="I116" s="71"/>
      <c r="J116" s="71"/>
      <c r="K116" s="71"/>
      <c r="L116" s="71"/>
      <c r="M116" s="71"/>
    </row>
    <row r="117" spans="2:13" x14ac:dyDescent="0.35">
      <c r="B117" s="71"/>
      <c r="C117" s="71"/>
      <c r="D117" s="71"/>
      <c r="E117" s="71"/>
      <c r="F117" s="71"/>
      <c r="G117" s="71"/>
      <c r="H117" s="71"/>
      <c r="I117" s="71"/>
      <c r="J117" s="71"/>
      <c r="K117" s="71"/>
      <c r="L117" s="71"/>
      <c r="M117" s="71"/>
    </row>
    <row r="118" spans="2:13" x14ac:dyDescent="0.35">
      <c r="B118" s="71"/>
      <c r="C118" s="71"/>
      <c r="D118" s="71"/>
      <c r="E118" s="71"/>
      <c r="F118" s="71"/>
      <c r="G118" s="71"/>
      <c r="H118" s="71"/>
      <c r="I118" s="71"/>
      <c r="J118" s="71"/>
      <c r="K118" s="71"/>
      <c r="L118" s="71"/>
      <c r="M118" s="71"/>
    </row>
    <row r="119" spans="2:13" x14ac:dyDescent="0.35">
      <c r="B119" s="71"/>
      <c r="C119" s="71"/>
      <c r="D119" s="71"/>
      <c r="E119" s="71"/>
      <c r="F119" s="71"/>
      <c r="G119" s="71"/>
      <c r="H119" s="71"/>
      <c r="I119" s="71"/>
      <c r="J119" s="71"/>
      <c r="K119" s="71"/>
      <c r="L119" s="71"/>
      <c r="M119" s="71"/>
    </row>
    <row r="120" spans="2:13" x14ac:dyDescent="0.35">
      <c r="B120" s="71"/>
      <c r="C120" s="71"/>
      <c r="D120" s="71"/>
      <c r="E120" s="71"/>
      <c r="F120" s="71"/>
      <c r="G120" s="71"/>
      <c r="H120" s="71"/>
      <c r="I120" s="71"/>
      <c r="J120" s="71"/>
      <c r="K120" s="71"/>
      <c r="L120" s="71"/>
      <c r="M120" s="71"/>
    </row>
    <row r="121" spans="2:13" x14ac:dyDescent="0.35">
      <c r="B121" s="71"/>
      <c r="C121" s="71"/>
      <c r="D121" s="71"/>
      <c r="E121" s="71"/>
      <c r="F121" s="71"/>
      <c r="G121" s="71"/>
      <c r="H121" s="71"/>
      <c r="I121" s="71"/>
      <c r="J121" s="71"/>
      <c r="K121" s="71"/>
      <c r="L121" s="71"/>
      <c r="M121" s="71"/>
    </row>
    <row r="122" spans="2:13" x14ac:dyDescent="0.35">
      <c r="B122" s="71"/>
      <c r="C122" s="71"/>
      <c r="D122" s="71"/>
      <c r="E122" s="71"/>
      <c r="F122" s="71"/>
      <c r="G122" s="71"/>
      <c r="H122" s="71"/>
      <c r="I122" s="71"/>
      <c r="J122" s="71"/>
      <c r="K122" s="71"/>
      <c r="L122" s="71"/>
      <c r="M122" s="71"/>
    </row>
    <row r="123" spans="2:13" x14ac:dyDescent="0.35">
      <c r="B123" s="71"/>
      <c r="C123" s="71"/>
      <c r="D123" s="71"/>
      <c r="E123" s="71"/>
      <c r="F123" s="71"/>
      <c r="G123" s="71"/>
      <c r="H123" s="71"/>
      <c r="I123" s="71"/>
      <c r="J123" s="71"/>
      <c r="K123" s="71"/>
      <c r="L123" s="71"/>
      <c r="M123" s="71"/>
    </row>
    <row r="124" spans="2:13" x14ac:dyDescent="0.35">
      <c r="B124" s="71"/>
      <c r="C124" s="71"/>
      <c r="D124" s="71"/>
      <c r="E124" s="71"/>
      <c r="F124" s="71"/>
      <c r="G124" s="71"/>
      <c r="H124" s="71"/>
      <c r="I124" s="71"/>
      <c r="J124" s="71"/>
      <c r="K124" s="71"/>
      <c r="L124" s="71"/>
      <c r="M124" s="71"/>
    </row>
    <row r="125" spans="2:13" x14ac:dyDescent="0.35">
      <c r="B125" s="71"/>
      <c r="C125" s="71"/>
      <c r="D125" s="71"/>
      <c r="E125" s="71"/>
      <c r="F125" s="71"/>
      <c r="G125" s="71"/>
      <c r="H125" s="71"/>
      <c r="I125" s="71"/>
      <c r="J125" s="71"/>
      <c r="K125" s="71"/>
      <c r="L125" s="71"/>
      <c r="M125" s="71"/>
    </row>
    <row r="126" spans="2:13" x14ac:dyDescent="0.35">
      <c r="B126" s="71"/>
      <c r="C126" s="71"/>
      <c r="D126" s="71"/>
      <c r="E126" s="71"/>
      <c r="F126" s="71"/>
      <c r="G126" s="71"/>
      <c r="H126" s="71"/>
      <c r="I126" s="71"/>
      <c r="J126" s="71"/>
      <c r="K126" s="71"/>
      <c r="L126" s="71"/>
      <c r="M126" s="71"/>
    </row>
    <row r="127" spans="2:13" x14ac:dyDescent="0.35">
      <c r="B127" s="71"/>
      <c r="C127" s="71"/>
      <c r="D127" s="71"/>
      <c r="E127" s="71"/>
      <c r="F127" s="71"/>
      <c r="G127" s="71"/>
      <c r="H127" s="71"/>
      <c r="I127" s="71"/>
      <c r="J127" s="71"/>
      <c r="K127" s="71"/>
      <c r="L127" s="71"/>
      <c r="M127" s="71"/>
    </row>
    <row r="128" spans="2:13" x14ac:dyDescent="0.35">
      <c r="B128" s="71"/>
      <c r="C128" s="71"/>
      <c r="D128" s="71"/>
      <c r="E128" s="71"/>
      <c r="F128" s="71"/>
      <c r="G128" s="71"/>
      <c r="H128" s="71"/>
      <c r="I128" s="71"/>
      <c r="J128" s="71"/>
      <c r="K128" s="71"/>
      <c r="L128" s="71"/>
      <c r="M128" s="71"/>
    </row>
    <row r="129" spans="2:13" x14ac:dyDescent="0.35">
      <c r="B129" s="71"/>
      <c r="C129" s="71"/>
      <c r="D129" s="71"/>
      <c r="E129" s="71"/>
      <c r="F129" s="71"/>
      <c r="G129" s="71"/>
      <c r="H129" s="71"/>
      <c r="I129" s="71"/>
      <c r="J129" s="71"/>
      <c r="K129" s="71"/>
      <c r="L129" s="71"/>
      <c r="M129" s="71"/>
    </row>
    <row r="130" spans="2:13" x14ac:dyDescent="0.35">
      <c r="B130" s="71"/>
      <c r="C130" s="71"/>
      <c r="D130" s="71"/>
      <c r="E130" s="71"/>
      <c r="F130" s="71"/>
      <c r="G130" s="71"/>
      <c r="H130" s="71"/>
      <c r="I130" s="71"/>
      <c r="J130" s="71"/>
      <c r="K130" s="71"/>
      <c r="L130" s="71"/>
      <c r="M130" s="71"/>
    </row>
    <row r="131" spans="2:13" x14ac:dyDescent="0.35">
      <c r="B131" s="71"/>
      <c r="C131" s="71"/>
      <c r="D131" s="71"/>
      <c r="E131" s="71"/>
      <c r="F131" s="71"/>
      <c r="G131" s="71"/>
      <c r="H131" s="71"/>
      <c r="I131" s="71"/>
      <c r="J131" s="71"/>
      <c r="K131" s="71"/>
      <c r="L131" s="71"/>
      <c r="M131" s="71"/>
    </row>
  </sheetData>
  <mergeCells count="79">
    <mergeCell ref="C3:E5"/>
    <mergeCell ref="F3:J3"/>
    <mergeCell ref="C6:C10"/>
    <mergeCell ref="C12:E14"/>
    <mergeCell ref="F12:J12"/>
    <mergeCell ref="C15:C19"/>
    <mergeCell ref="C21:F21"/>
    <mergeCell ref="G21:H21"/>
    <mergeCell ref="I21:J21"/>
    <mergeCell ref="D22:F22"/>
    <mergeCell ref="G22:H22"/>
    <mergeCell ref="I22:J22"/>
    <mergeCell ref="D23:F23"/>
    <mergeCell ref="G23:H23"/>
    <mergeCell ref="I23:J23"/>
    <mergeCell ref="D24:F24"/>
    <mergeCell ref="G24:H24"/>
    <mergeCell ref="I24:J24"/>
    <mergeCell ref="D25:F25"/>
    <mergeCell ref="G25:H25"/>
    <mergeCell ref="I25:J25"/>
    <mergeCell ref="D26:F26"/>
    <mergeCell ref="G26:H26"/>
    <mergeCell ref="I26:J26"/>
    <mergeCell ref="C28:E28"/>
    <mergeCell ref="F28:I28"/>
    <mergeCell ref="F29:G29"/>
    <mergeCell ref="H29:I29"/>
    <mergeCell ref="F30:G30"/>
    <mergeCell ref="H30:I30"/>
    <mergeCell ref="F31:G31"/>
    <mergeCell ref="H31:I31"/>
    <mergeCell ref="F32:G32"/>
    <mergeCell ref="H32:I32"/>
    <mergeCell ref="F33:G33"/>
    <mergeCell ref="H33:I33"/>
    <mergeCell ref="C35:E35"/>
    <mergeCell ref="F35:G35"/>
    <mergeCell ref="H35:I35"/>
    <mergeCell ref="J35:K35"/>
    <mergeCell ref="L35:M35"/>
    <mergeCell ref="N35:O35"/>
    <mergeCell ref="P35:Q35"/>
    <mergeCell ref="R35:S35"/>
    <mergeCell ref="F36:G36"/>
    <mergeCell ref="H36:I36"/>
    <mergeCell ref="J36:K36"/>
    <mergeCell ref="L36:M36"/>
    <mergeCell ref="N36:O36"/>
    <mergeCell ref="P36:Q36"/>
    <mergeCell ref="R36:S36"/>
    <mergeCell ref="P37:Q37"/>
    <mergeCell ref="R37:S37"/>
    <mergeCell ref="F38:G38"/>
    <mergeCell ref="H38:I38"/>
    <mergeCell ref="J38:K38"/>
    <mergeCell ref="L38:M38"/>
    <mergeCell ref="N38:O38"/>
    <mergeCell ref="P38:Q38"/>
    <mergeCell ref="R38:S38"/>
    <mergeCell ref="F37:G37"/>
    <mergeCell ref="H37:I37"/>
    <mergeCell ref="J37:K37"/>
    <mergeCell ref="L37:M37"/>
    <mergeCell ref="N37:O37"/>
    <mergeCell ref="P39:Q39"/>
    <mergeCell ref="R39:S39"/>
    <mergeCell ref="F40:G40"/>
    <mergeCell ref="H40:I40"/>
    <mergeCell ref="J40:K40"/>
    <mergeCell ref="L40:M40"/>
    <mergeCell ref="N40:O40"/>
    <mergeCell ref="P40:Q40"/>
    <mergeCell ref="R40:S40"/>
    <mergeCell ref="F39:G39"/>
    <mergeCell ref="H39:I39"/>
    <mergeCell ref="J39:K39"/>
    <mergeCell ref="L39:M39"/>
    <mergeCell ref="N39:O39"/>
  </mergeCells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17"/>
  <sheetViews>
    <sheetView workbookViewId="0">
      <selection activeCell="A2" sqref="A2"/>
    </sheetView>
  </sheetViews>
  <sheetFormatPr defaultRowHeight="14.5" x14ac:dyDescent="0.35"/>
  <cols>
    <col min="1" max="1" width="45.08984375" customWidth="1"/>
    <col min="2" max="2" width="41.6328125" customWidth="1"/>
  </cols>
  <sheetData>
    <row r="1" spans="1:2" ht="15.5" x14ac:dyDescent="0.35">
      <c r="A1" s="74" t="s">
        <v>166</v>
      </c>
      <c r="B1" s="67"/>
    </row>
    <row r="2" spans="1:2" ht="15.5" x14ac:dyDescent="0.35">
      <c r="A2" t="s">
        <v>150</v>
      </c>
      <c r="B2" s="52"/>
    </row>
    <row r="3" spans="1:2" ht="15.5" x14ac:dyDescent="0.35">
      <c r="A3" t="s">
        <v>151</v>
      </c>
      <c r="B3" s="52"/>
    </row>
    <row r="4" spans="1:2" ht="15.5" x14ac:dyDescent="0.35">
      <c r="A4" t="s">
        <v>152</v>
      </c>
      <c r="B4" s="52"/>
    </row>
    <row r="5" spans="1:2" ht="15.5" x14ac:dyDescent="0.35">
      <c r="A5" t="s">
        <v>153</v>
      </c>
      <c r="B5" s="52"/>
    </row>
    <row r="6" spans="1:2" ht="15.5" x14ac:dyDescent="0.35">
      <c r="A6" t="s">
        <v>154</v>
      </c>
      <c r="B6" s="52"/>
    </row>
    <row r="7" spans="1:2" ht="15.5" x14ac:dyDescent="0.35">
      <c r="A7" t="s">
        <v>155</v>
      </c>
      <c r="B7" s="52"/>
    </row>
    <row r="8" spans="1:2" ht="15.5" x14ac:dyDescent="0.35">
      <c r="A8" t="s">
        <v>156</v>
      </c>
      <c r="B8" s="52"/>
    </row>
    <row r="9" spans="1:2" ht="15.5" x14ac:dyDescent="0.35">
      <c r="A9" t="s">
        <v>157</v>
      </c>
      <c r="B9" s="52"/>
    </row>
    <row r="10" spans="1:2" ht="15.5" x14ac:dyDescent="0.35">
      <c r="A10" t="s">
        <v>158</v>
      </c>
      <c r="B10" s="52"/>
    </row>
    <row r="11" spans="1:2" ht="15.5" x14ac:dyDescent="0.35">
      <c r="A11" t="s">
        <v>159</v>
      </c>
      <c r="B11" s="52"/>
    </row>
    <row r="12" spans="1:2" ht="15.5" x14ac:dyDescent="0.35">
      <c r="A12" t="s">
        <v>160</v>
      </c>
      <c r="B12" s="52"/>
    </row>
    <row r="13" spans="1:2" ht="15.5" x14ac:dyDescent="0.35">
      <c r="A13" t="s">
        <v>161</v>
      </c>
      <c r="B13" s="52"/>
    </row>
    <row r="14" spans="1:2" ht="15.5" x14ac:dyDescent="0.35">
      <c r="B14" s="52"/>
    </row>
    <row r="15" spans="1:2" ht="15.5" x14ac:dyDescent="0.35">
      <c r="B15" s="52"/>
    </row>
    <row r="16" spans="1:2" ht="15.5" x14ac:dyDescent="0.35">
      <c r="B16" s="52"/>
    </row>
    <row r="17" spans="2:2" ht="15.5" x14ac:dyDescent="0.35">
      <c r="B17" s="52"/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23B67-5F14-4F1F-BD93-650017D2FC1F}">
  <dimension ref="A1:F141"/>
  <sheetViews>
    <sheetView topLeftCell="A5" zoomScale="108" workbookViewId="0">
      <selection activeCell="C2" sqref="C2:C11"/>
    </sheetView>
  </sheetViews>
  <sheetFormatPr defaultRowHeight="14.5" x14ac:dyDescent="0.35"/>
  <cols>
    <col min="1" max="1" width="15.7265625" style="83" customWidth="1"/>
    <col min="2" max="2" width="41" style="83" customWidth="1"/>
    <col min="3" max="3" width="43.7265625" style="83" customWidth="1"/>
    <col min="4" max="4" width="22.36328125" customWidth="1"/>
    <col min="6" max="6" width="28.81640625" customWidth="1"/>
  </cols>
  <sheetData>
    <row r="1" spans="1:6" ht="19.5" x14ac:dyDescent="0.35">
      <c r="A1" s="81" t="s">
        <v>162</v>
      </c>
      <c r="B1" s="81" t="s">
        <v>35</v>
      </c>
      <c r="C1" s="81" t="s">
        <v>324</v>
      </c>
      <c r="D1" s="81"/>
    </row>
    <row r="2" spans="1:6" ht="43.5" x14ac:dyDescent="0.35">
      <c r="A2" s="84" t="s">
        <v>18</v>
      </c>
      <c r="B2" s="87" t="s">
        <v>178</v>
      </c>
      <c r="C2" s="82" t="s">
        <v>179</v>
      </c>
      <c r="F2" s="74"/>
    </row>
    <row r="3" spans="1:6" ht="29" customHeight="1" x14ac:dyDescent="0.35">
      <c r="A3" s="85"/>
      <c r="B3" s="88"/>
      <c r="C3" s="82" t="s">
        <v>180</v>
      </c>
    </row>
    <row r="4" spans="1:6" ht="29" customHeight="1" x14ac:dyDescent="0.35">
      <c r="A4" s="85"/>
      <c r="B4" s="88"/>
      <c r="C4" s="82" t="s">
        <v>181</v>
      </c>
    </row>
    <row r="5" spans="1:6" ht="29" customHeight="1" x14ac:dyDescent="0.35">
      <c r="A5" s="85"/>
      <c r="B5" s="88"/>
      <c r="C5" s="82" t="s">
        <v>182</v>
      </c>
    </row>
    <row r="6" spans="1:6" ht="29" customHeight="1" x14ac:dyDescent="0.35">
      <c r="A6" s="85"/>
      <c r="B6" s="89"/>
      <c r="C6" s="82" t="s">
        <v>183</v>
      </c>
    </row>
    <row r="7" spans="1:6" ht="43.5" x14ac:dyDescent="0.35">
      <c r="A7" s="85"/>
      <c r="B7" s="87" t="s">
        <v>184</v>
      </c>
      <c r="C7" s="82" t="s">
        <v>185</v>
      </c>
    </row>
    <row r="8" spans="1:6" ht="29" x14ac:dyDescent="0.35">
      <c r="A8" s="85"/>
      <c r="B8" s="88"/>
      <c r="C8" s="82" t="s">
        <v>186</v>
      </c>
    </row>
    <row r="9" spans="1:6" ht="29" x14ac:dyDescent="0.35">
      <c r="A9" s="85"/>
      <c r="B9" s="88"/>
      <c r="C9" s="82" t="s">
        <v>187</v>
      </c>
    </row>
    <row r="10" spans="1:6" ht="29" x14ac:dyDescent="0.35">
      <c r="A10" s="85"/>
      <c r="B10" s="88"/>
      <c r="C10" s="82" t="s">
        <v>188</v>
      </c>
    </row>
    <row r="11" spans="1:6" ht="29" customHeight="1" x14ac:dyDescent="0.35">
      <c r="A11" s="85"/>
      <c r="B11" s="89"/>
      <c r="C11" s="82" t="s">
        <v>189</v>
      </c>
    </row>
    <row r="12" spans="1:6" ht="43.5" x14ac:dyDescent="0.35">
      <c r="A12" s="85"/>
      <c r="B12" s="87"/>
      <c r="C12" s="82" t="s">
        <v>190</v>
      </c>
    </row>
    <row r="13" spans="1:6" ht="29" customHeight="1" x14ac:dyDescent="0.35">
      <c r="A13" s="85"/>
      <c r="B13" s="88"/>
      <c r="C13" s="82" t="s">
        <v>191</v>
      </c>
    </row>
    <row r="14" spans="1:6" x14ac:dyDescent="0.35">
      <c r="A14" s="92"/>
      <c r="B14" s="94" t="s">
        <v>328</v>
      </c>
      <c r="C14" s="93" t="s">
        <v>192</v>
      </c>
    </row>
    <row r="15" spans="1:6" x14ac:dyDescent="0.35">
      <c r="A15" s="85"/>
      <c r="B15" s="85"/>
      <c r="C15" s="82" t="s">
        <v>193</v>
      </c>
    </row>
    <row r="16" spans="1:6" x14ac:dyDescent="0.35">
      <c r="A16" s="85"/>
      <c r="B16" s="85"/>
      <c r="C16" s="82" t="s">
        <v>194</v>
      </c>
    </row>
    <row r="17" spans="1:3" x14ac:dyDescent="0.35">
      <c r="A17" s="85"/>
      <c r="B17" s="85"/>
      <c r="C17" s="82" t="s">
        <v>195</v>
      </c>
    </row>
    <row r="18" spans="1:3" x14ac:dyDescent="0.35">
      <c r="A18" s="85"/>
      <c r="B18" s="85"/>
      <c r="C18" s="82" t="s">
        <v>321</v>
      </c>
    </row>
    <row r="19" spans="1:3" ht="29" x14ac:dyDescent="0.35">
      <c r="A19" s="85"/>
      <c r="B19" s="85"/>
      <c r="C19" s="82" t="s">
        <v>322</v>
      </c>
    </row>
    <row r="20" spans="1:3" ht="29" x14ac:dyDescent="0.35">
      <c r="A20" s="85"/>
      <c r="B20" s="85"/>
      <c r="C20" s="82" t="s">
        <v>196</v>
      </c>
    </row>
    <row r="21" spans="1:3" x14ac:dyDescent="0.35">
      <c r="A21" s="85"/>
      <c r="B21" s="85"/>
      <c r="C21" s="82" t="s">
        <v>197</v>
      </c>
    </row>
    <row r="22" spans="1:3" x14ac:dyDescent="0.35">
      <c r="A22" s="85"/>
      <c r="B22" s="86"/>
      <c r="C22" s="82" t="s">
        <v>198</v>
      </c>
    </row>
    <row r="23" spans="1:3" ht="29" x14ac:dyDescent="0.35">
      <c r="A23" s="85"/>
      <c r="B23" s="87" t="s">
        <v>199</v>
      </c>
      <c r="C23" s="82" t="s">
        <v>200</v>
      </c>
    </row>
    <row r="24" spans="1:3" ht="29" x14ac:dyDescent="0.35">
      <c r="A24" s="85"/>
      <c r="B24" s="89"/>
      <c r="C24" s="82" t="s">
        <v>201</v>
      </c>
    </row>
    <row r="25" spans="1:3" ht="43.5" x14ac:dyDescent="0.35">
      <c r="A25" s="85"/>
      <c r="B25" s="90" t="s">
        <v>202</v>
      </c>
      <c r="C25" s="82" t="s">
        <v>203</v>
      </c>
    </row>
    <row r="26" spans="1:3" ht="29" x14ac:dyDescent="0.35">
      <c r="A26" s="85"/>
      <c r="B26" s="87" t="s">
        <v>204</v>
      </c>
      <c r="C26" s="82" t="s">
        <v>205</v>
      </c>
    </row>
    <row r="27" spans="1:3" x14ac:dyDescent="0.35">
      <c r="A27" s="85"/>
      <c r="B27" s="88"/>
      <c r="C27" s="82" t="s">
        <v>206</v>
      </c>
    </row>
    <row r="28" spans="1:3" ht="29" x14ac:dyDescent="0.35">
      <c r="A28" s="85"/>
      <c r="B28" s="88"/>
      <c r="C28" s="82" t="s">
        <v>207</v>
      </c>
    </row>
    <row r="29" spans="1:3" x14ac:dyDescent="0.35">
      <c r="A29" s="85"/>
      <c r="B29" s="88"/>
      <c r="C29" s="82" t="s">
        <v>208</v>
      </c>
    </row>
    <row r="30" spans="1:3" ht="43.5" x14ac:dyDescent="0.35">
      <c r="A30" s="85"/>
      <c r="B30" s="88"/>
      <c r="C30" s="82" t="s">
        <v>209</v>
      </c>
    </row>
    <row r="31" spans="1:3" ht="29" x14ac:dyDescent="0.35">
      <c r="A31" s="85"/>
      <c r="B31" s="89"/>
      <c r="C31" s="82" t="s">
        <v>210</v>
      </c>
    </row>
    <row r="32" spans="1:3" ht="29" x14ac:dyDescent="0.35">
      <c r="A32" s="85"/>
      <c r="B32" s="87" t="s">
        <v>211</v>
      </c>
      <c r="C32" s="82" t="s">
        <v>212</v>
      </c>
    </row>
    <row r="33" spans="1:3" ht="29" x14ac:dyDescent="0.35">
      <c r="A33" s="85"/>
      <c r="B33" s="88"/>
      <c r="C33" s="82" t="s">
        <v>213</v>
      </c>
    </row>
    <row r="34" spans="1:3" ht="29" x14ac:dyDescent="0.35">
      <c r="A34" s="85"/>
      <c r="B34" s="88"/>
      <c r="C34" s="82" t="s">
        <v>214</v>
      </c>
    </row>
    <row r="35" spans="1:3" ht="29" x14ac:dyDescent="0.35">
      <c r="A35" s="85"/>
      <c r="B35" s="88"/>
      <c r="C35" s="82" t="s">
        <v>215</v>
      </c>
    </row>
    <row r="36" spans="1:3" ht="29" x14ac:dyDescent="0.35">
      <c r="A36" s="85"/>
      <c r="B36" s="89"/>
      <c r="C36" s="82" t="s">
        <v>216</v>
      </c>
    </row>
    <row r="37" spans="1:3" x14ac:dyDescent="0.35">
      <c r="A37" s="85"/>
      <c r="B37" s="87" t="s">
        <v>217</v>
      </c>
      <c r="C37" s="82" t="s">
        <v>218</v>
      </c>
    </row>
    <row r="38" spans="1:3" ht="29" x14ac:dyDescent="0.35">
      <c r="A38" s="85"/>
      <c r="B38" s="89"/>
      <c r="C38" s="82" t="s">
        <v>323</v>
      </c>
    </row>
    <row r="39" spans="1:3" x14ac:dyDescent="0.35">
      <c r="A39" s="85"/>
      <c r="B39" s="87" t="s">
        <v>219</v>
      </c>
      <c r="C39" s="82" t="s">
        <v>220</v>
      </c>
    </row>
    <row r="40" spans="1:3" x14ac:dyDescent="0.35">
      <c r="A40" s="85"/>
      <c r="B40" s="88"/>
      <c r="C40" s="82" t="s">
        <v>221</v>
      </c>
    </row>
    <row r="41" spans="1:3" ht="29" x14ac:dyDescent="0.35">
      <c r="A41" s="85"/>
      <c r="B41" s="89"/>
      <c r="C41" s="82" t="s">
        <v>222</v>
      </c>
    </row>
    <row r="42" spans="1:3" x14ac:dyDescent="0.35">
      <c r="A42" s="85"/>
      <c r="B42" s="87" t="s">
        <v>223</v>
      </c>
      <c r="C42" s="82" t="s">
        <v>220</v>
      </c>
    </row>
    <row r="43" spans="1:3" ht="29" x14ac:dyDescent="0.35">
      <c r="A43" s="85"/>
      <c r="B43" s="88"/>
      <c r="C43" s="82" t="s">
        <v>224</v>
      </c>
    </row>
    <row r="44" spans="1:3" ht="43.5" x14ac:dyDescent="0.35">
      <c r="A44" s="85"/>
      <c r="B44" s="89"/>
      <c r="C44" s="82" t="s">
        <v>225</v>
      </c>
    </row>
    <row r="45" spans="1:3" x14ac:dyDescent="0.35">
      <c r="A45" s="85"/>
      <c r="B45" s="91" t="s">
        <v>330</v>
      </c>
      <c r="C45" s="82" t="s">
        <v>226</v>
      </c>
    </row>
    <row r="46" spans="1:3" ht="29" x14ac:dyDescent="0.35">
      <c r="A46" s="85"/>
      <c r="B46" s="85"/>
      <c r="C46" s="82" t="s">
        <v>227</v>
      </c>
    </row>
    <row r="47" spans="1:3" x14ac:dyDescent="0.35">
      <c r="A47" s="85"/>
      <c r="B47" s="85"/>
      <c r="C47" s="82" t="s">
        <v>195</v>
      </c>
    </row>
    <row r="48" spans="1:3" x14ac:dyDescent="0.35">
      <c r="A48" s="85"/>
      <c r="B48" s="85"/>
      <c r="C48" s="82" t="s">
        <v>197</v>
      </c>
    </row>
    <row r="49" spans="1:3" x14ac:dyDescent="0.35">
      <c r="A49" s="85"/>
      <c r="B49" s="85"/>
      <c r="C49" s="82" t="s">
        <v>228</v>
      </c>
    </row>
    <row r="50" spans="1:3" x14ac:dyDescent="0.35">
      <c r="A50" s="85"/>
      <c r="B50" s="85"/>
      <c r="C50" s="82" t="s">
        <v>198</v>
      </c>
    </row>
    <row r="51" spans="1:3" x14ac:dyDescent="0.35">
      <c r="A51" s="85"/>
      <c r="B51" s="86"/>
      <c r="C51" s="82" t="s">
        <v>229</v>
      </c>
    </row>
    <row r="52" spans="1:3" x14ac:dyDescent="0.35">
      <c r="A52" s="85"/>
      <c r="B52" s="87" t="s">
        <v>331</v>
      </c>
      <c r="C52" s="82" t="s">
        <v>226</v>
      </c>
    </row>
    <row r="53" spans="1:3" ht="29" x14ac:dyDescent="0.35">
      <c r="A53" s="85"/>
      <c r="B53" s="89"/>
      <c r="C53" s="82" t="s">
        <v>230</v>
      </c>
    </row>
    <row r="54" spans="1:3" x14ac:dyDescent="0.35">
      <c r="A54" s="84" t="s">
        <v>17</v>
      </c>
      <c r="B54" s="84" t="s">
        <v>326</v>
      </c>
      <c r="C54" s="82" t="s">
        <v>239</v>
      </c>
    </row>
    <row r="55" spans="1:3" ht="29" x14ac:dyDescent="0.35">
      <c r="A55" s="84" t="s">
        <v>17</v>
      </c>
      <c r="B55" s="84"/>
      <c r="C55" s="82" t="s">
        <v>240</v>
      </c>
    </row>
    <row r="56" spans="1:3" x14ac:dyDescent="0.35">
      <c r="A56" s="84" t="s">
        <v>17</v>
      </c>
      <c r="B56" s="84"/>
      <c r="C56" s="82" t="s">
        <v>280</v>
      </c>
    </row>
    <row r="57" spans="1:3" ht="29" x14ac:dyDescent="0.35">
      <c r="A57" s="84" t="s">
        <v>17</v>
      </c>
      <c r="B57" s="87" t="s">
        <v>241</v>
      </c>
      <c r="C57" s="82" t="s">
        <v>242</v>
      </c>
    </row>
    <row r="58" spans="1:3" x14ac:dyDescent="0.35">
      <c r="A58" s="84" t="s">
        <v>17</v>
      </c>
      <c r="B58" s="87"/>
      <c r="C58" s="82" t="s">
        <v>243</v>
      </c>
    </row>
    <row r="59" spans="1:3" x14ac:dyDescent="0.35">
      <c r="A59" s="84" t="s">
        <v>17</v>
      </c>
      <c r="B59" s="84" t="s">
        <v>327</v>
      </c>
      <c r="C59" s="82" t="s">
        <v>244</v>
      </c>
    </row>
    <row r="60" spans="1:3" x14ac:dyDescent="0.35">
      <c r="A60" s="84" t="s">
        <v>17</v>
      </c>
      <c r="B60" s="84"/>
      <c r="C60" s="82" t="s">
        <v>280</v>
      </c>
    </row>
    <row r="61" spans="1:3" x14ac:dyDescent="0.35">
      <c r="A61" s="84" t="s">
        <v>17</v>
      </c>
      <c r="B61" s="84"/>
      <c r="C61" s="82" t="s">
        <v>245</v>
      </c>
    </row>
    <row r="62" spans="1:3" ht="29" x14ac:dyDescent="0.35">
      <c r="A62" s="84" t="s">
        <v>17</v>
      </c>
      <c r="B62" s="87" t="s">
        <v>246</v>
      </c>
      <c r="C62" s="82" t="s">
        <v>247</v>
      </c>
    </row>
    <row r="63" spans="1:3" ht="43.5" x14ac:dyDescent="0.35">
      <c r="A63" s="85"/>
      <c r="B63" s="87"/>
      <c r="C63" s="82" t="s">
        <v>248</v>
      </c>
    </row>
    <row r="64" spans="1:3" ht="29" x14ac:dyDescent="0.35">
      <c r="A64" s="85"/>
      <c r="B64" s="87"/>
      <c r="C64" s="82" t="s">
        <v>249</v>
      </c>
    </row>
    <row r="65" spans="1:3" ht="29" customHeight="1" x14ac:dyDescent="0.35">
      <c r="A65" s="85"/>
      <c r="B65" s="87"/>
      <c r="C65" s="82" t="s">
        <v>250</v>
      </c>
    </row>
    <row r="66" spans="1:3" ht="29" customHeight="1" x14ac:dyDescent="0.35">
      <c r="A66" s="85"/>
      <c r="B66" s="87"/>
      <c r="C66" s="82" t="s">
        <v>194</v>
      </c>
    </row>
    <row r="67" spans="1:3" ht="29" x14ac:dyDescent="0.35">
      <c r="A67" s="85"/>
      <c r="B67" s="87"/>
      <c r="C67" s="82" t="s">
        <v>251</v>
      </c>
    </row>
    <row r="68" spans="1:3" ht="29" customHeight="1" x14ac:dyDescent="0.35">
      <c r="A68" s="85"/>
      <c r="B68" s="87"/>
      <c r="C68" s="82" t="s">
        <v>252</v>
      </c>
    </row>
    <row r="69" spans="1:3" ht="29" x14ac:dyDescent="0.35">
      <c r="A69" s="85"/>
      <c r="B69" s="87"/>
      <c r="C69" s="82" t="s">
        <v>196</v>
      </c>
    </row>
    <row r="70" spans="1:3" ht="29" customHeight="1" x14ac:dyDescent="0.35">
      <c r="A70" s="85"/>
      <c r="B70" s="87"/>
      <c r="C70" s="82" t="s">
        <v>253</v>
      </c>
    </row>
    <row r="71" spans="1:3" ht="29" x14ac:dyDescent="0.35">
      <c r="A71" s="85"/>
      <c r="B71" s="87" t="s">
        <v>329</v>
      </c>
      <c r="C71" s="82" t="s">
        <v>335</v>
      </c>
    </row>
    <row r="72" spans="1:3" x14ac:dyDescent="0.35">
      <c r="A72" s="85"/>
      <c r="B72" s="87"/>
      <c r="C72" s="82" t="s">
        <v>254</v>
      </c>
    </row>
    <row r="73" spans="1:3" x14ac:dyDescent="0.35">
      <c r="A73" s="85"/>
      <c r="B73" s="87"/>
      <c r="C73" s="82" t="s">
        <v>250</v>
      </c>
    </row>
    <row r="74" spans="1:3" x14ac:dyDescent="0.35">
      <c r="A74" s="85"/>
      <c r="B74" s="87"/>
      <c r="C74" s="82" t="s">
        <v>255</v>
      </c>
    </row>
    <row r="75" spans="1:3" x14ac:dyDescent="0.35">
      <c r="A75" s="85"/>
      <c r="B75" s="87"/>
      <c r="C75" s="82" t="s">
        <v>194</v>
      </c>
    </row>
    <row r="76" spans="1:3" ht="29" x14ac:dyDescent="0.35">
      <c r="A76" s="85"/>
      <c r="B76" s="87"/>
      <c r="C76" s="82" t="s">
        <v>256</v>
      </c>
    </row>
    <row r="77" spans="1:3" x14ac:dyDescent="0.35">
      <c r="A77" s="85"/>
      <c r="B77" s="87"/>
      <c r="C77" s="82" t="s">
        <v>257</v>
      </c>
    </row>
    <row r="78" spans="1:3" x14ac:dyDescent="0.35">
      <c r="A78" s="85"/>
      <c r="B78" s="87"/>
      <c r="C78" s="82"/>
    </row>
    <row r="79" spans="1:3" x14ac:dyDescent="0.35">
      <c r="A79" s="85"/>
      <c r="B79" s="87"/>
      <c r="C79" s="82" t="s">
        <v>259</v>
      </c>
    </row>
    <row r="80" spans="1:3" x14ac:dyDescent="0.35">
      <c r="A80" s="85"/>
      <c r="B80" s="87" t="s">
        <v>260</v>
      </c>
      <c r="C80" s="82" t="s">
        <v>261</v>
      </c>
    </row>
    <row r="81" spans="1:3" ht="29" x14ac:dyDescent="0.35">
      <c r="A81" s="85"/>
      <c r="B81" s="87"/>
      <c r="C81" s="82" t="s">
        <v>262</v>
      </c>
    </row>
    <row r="82" spans="1:3" x14ac:dyDescent="0.35">
      <c r="A82" s="85"/>
      <c r="B82" s="87"/>
      <c r="C82" s="82" t="s">
        <v>263</v>
      </c>
    </row>
    <row r="83" spans="1:3" ht="29" x14ac:dyDescent="0.35">
      <c r="A83" s="85"/>
      <c r="B83" s="87" t="s">
        <v>270</v>
      </c>
      <c r="C83" s="82" t="s">
        <v>264</v>
      </c>
    </row>
    <row r="84" spans="1:3" x14ac:dyDescent="0.35">
      <c r="A84" s="85"/>
      <c r="B84" s="88"/>
      <c r="C84" s="82" t="s">
        <v>265</v>
      </c>
    </row>
    <row r="85" spans="1:3" x14ac:dyDescent="0.35">
      <c r="A85" s="85"/>
      <c r="B85" s="88"/>
      <c r="C85" s="82" t="s">
        <v>266</v>
      </c>
    </row>
    <row r="86" spans="1:3" x14ac:dyDescent="0.35">
      <c r="A86" s="85"/>
      <c r="B86" s="89"/>
      <c r="C86" s="82" t="s">
        <v>267</v>
      </c>
    </row>
    <row r="87" spans="1:3" x14ac:dyDescent="0.35">
      <c r="A87" s="85"/>
      <c r="B87" s="87" t="s">
        <v>270</v>
      </c>
      <c r="C87" s="82" t="s">
        <v>271</v>
      </c>
    </row>
    <row r="88" spans="1:3" x14ac:dyDescent="0.35">
      <c r="A88" s="85"/>
      <c r="B88" s="88"/>
      <c r="C88" s="82" t="s">
        <v>272</v>
      </c>
    </row>
    <row r="89" spans="1:3" x14ac:dyDescent="0.35">
      <c r="A89" s="85"/>
      <c r="B89" s="88"/>
      <c r="C89" s="82" t="s">
        <v>334</v>
      </c>
    </row>
    <row r="90" spans="1:3" x14ac:dyDescent="0.35">
      <c r="A90" s="85"/>
      <c r="B90" s="89"/>
      <c r="C90" s="82" t="s">
        <v>266</v>
      </c>
    </row>
    <row r="91" spans="1:3" x14ac:dyDescent="0.35">
      <c r="A91" s="85"/>
      <c r="B91" s="82" t="s">
        <v>268</v>
      </c>
      <c r="C91" s="82" t="s">
        <v>269</v>
      </c>
    </row>
    <row r="92" spans="1:3" x14ac:dyDescent="0.35">
      <c r="A92" s="85"/>
      <c r="B92" s="174" t="s">
        <v>273</v>
      </c>
      <c r="C92" s="82" t="s">
        <v>274</v>
      </c>
    </row>
    <row r="93" spans="1:3" ht="29" x14ac:dyDescent="0.35">
      <c r="A93" s="85"/>
      <c r="B93" s="175"/>
      <c r="C93" s="82" t="s">
        <v>275</v>
      </c>
    </row>
    <row r="94" spans="1:3" ht="29" x14ac:dyDescent="0.35">
      <c r="A94" s="85"/>
      <c r="B94" s="176"/>
      <c r="C94" s="82" t="s">
        <v>276</v>
      </c>
    </row>
    <row r="95" spans="1:3" ht="29" x14ac:dyDescent="0.35">
      <c r="A95" s="85"/>
      <c r="B95" s="174" t="s">
        <v>277</v>
      </c>
      <c r="C95" s="82" t="s">
        <v>258</v>
      </c>
    </row>
    <row r="96" spans="1:3" x14ac:dyDescent="0.35">
      <c r="A96" s="85"/>
      <c r="B96" s="175"/>
      <c r="C96" s="82" t="s">
        <v>263</v>
      </c>
    </row>
    <row r="97" spans="1:3" x14ac:dyDescent="0.35">
      <c r="A97" s="85"/>
      <c r="B97" s="176"/>
      <c r="C97" s="82" t="s">
        <v>278</v>
      </c>
    </row>
    <row r="98" spans="1:3" x14ac:dyDescent="0.35">
      <c r="A98" s="85"/>
      <c r="B98" s="87" t="s">
        <v>279</v>
      </c>
      <c r="C98" s="82" t="s">
        <v>280</v>
      </c>
    </row>
    <row r="99" spans="1:3" x14ac:dyDescent="0.35">
      <c r="A99" s="86"/>
      <c r="B99" s="89"/>
      <c r="C99" s="82" t="s">
        <v>281</v>
      </c>
    </row>
    <row r="100" spans="1:3" ht="43.5" x14ac:dyDescent="0.35">
      <c r="A100" s="94" t="s">
        <v>17</v>
      </c>
      <c r="B100" s="51" t="s">
        <v>233</v>
      </c>
      <c r="C100" s="82" t="s">
        <v>234</v>
      </c>
    </row>
    <row r="101" spans="1:3" x14ac:dyDescent="0.35">
      <c r="A101" s="85"/>
      <c r="B101" s="84" t="s">
        <v>325</v>
      </c>
      <c r="C101" s="82" t="s">
        <v>235</v>
      </c>
    </row>
    <row r="102" spans="1:3" x14ac:dyDescent="0.35">
      <c r="A102" s="85"/>
      <c r="B102" s="85"/>
      <c r="C102" s="82" t="s">
        <v>226</v>
      </c>
    </row>
    <row r="103" spans="1:3" x14ac:dyDescent="0.35">
      <c r="A103" s="85"/>
      <c r="B103" s="85"/>
      <c r="C103" s="82" t="s">
        <v>236</v>
      </c>
    </row>
    <row r="104" spans="1:3" x14ac:dyDescent="0.35">
      <c r="A104" s="85"/>
      <c r="B104" s="85"/>
      <c r="C104" s="82" t="s">
        <v>237</v>
      </c>
    </row>
    <row r="105" spans="1:3" ht="43.5" x14ac:dyDescent="0.35">
      <c r="A105" s="86"/>
      <c r="B105" s="86"/>
      <c r="C105" s="82" t="s">
        <v>238</v>
      </c>
    </row>
    <row r="106" spans="1:3" ht="29" x14ac:dyDescent="0.35">
      <c r="A106" s="84" t="s">
        <v>16</v>
      </c>
      <c r="B106" s="87" t="s">
        <v>282</v>
      </c>
      <c r="C106" s="82" t="s">
        <v>283</v>
      </c>
    </row>
    <row r="107" spans="1:3" ht="43.5" x14ac:dyDescent="0.35">
      <c r="A107" s="85"/>
      <c r="B107" s="88"/>
      <c r="C107" s="82" t="s">
        <v>284</v>
      </c>
    </row>
    <row r="108" spans="1:3" ht="29" x14ac:dyDescent="0.35">
      <c r="A108" s="85"/>
      <c r="B108" s="88"/>
      <c r="C108" s="82" t="s">
        <v>285</v>
      </c>
    </row>
    <row r="109" spans="1:3" ht="58" x14ac:dyDescent="0.35">
      <c r="A109" s="85"/>
      <c r="B109" s="89"/>
      <c r="C109" s="82" t="s">
        <v>286</v>
      </c>
    </row>
    <row r="110" spans="1:3" x14ac:dyDescent="0.35">
      <c r="A110" s="85"/>
      <c r="B110" s="87" t="s">
        <v>287</v>
      </c>
      <c r="C110" s="82" t="s">
        <v>288</v>
      </c>
    </row>
    <row r="111" spans="1:3" ht="29" x14ac:dyDescent="0.35">
      <c r="A111" s="85"/>
      <c r="B111" s="88"/>
      <c r="C111" s="82" t="s">
        <v>289</v>
      </c>
    </row>
    <row r="112" spans="1:3" ht="43.5" x14ac:dyDescent="0.35">
      <c r="A112" s="85"/>
      <c r="B112" s="88"/>
      <c r="C112" s="82" t="s">
        <v>290</v>
      </c>
    </row>
    <row r="113" spans="1:3" ht="43.5" x14ac:dyDescent="0.35">
      <c r="A113" s="85"/>
      <c r="B113" s="89"/>
      <c r="C113" s="82" t="s">
        <v>291</v>
      </c>
    </row>
    <row r="114" spans="1:3" ht="29" x14ac:dyDescent="0.35">
      <c r="A114" s="85"/>
      <c r="B114" s="87" t="s">
        <v>292</v>
      </c>
      <c r="C114" s="82" t="s">
        <v>293</v>
      </c>
    </row>
    <row r="115" spans="1:3" ht="29" x14ac:dyDescent="0.35">
      <c r="A115" s="85"/>
      <c r="B115" s="89"/>
      <c r="C115" s="82" t="s">
        <v>294</v>
      </c>
    </row>
    <row r="116" spans="1:3" ht="29" x14ac:dyDescent="0.35">
      <c r="A116" s="85"/>
      <c r="B116" s="87" t="s">
        <v>295</v>
      </c>
      <c r="C116" s="82" t="s">
        <v>293</v>
      </c>
    </row>
    <row r="117" spans="1:3" ht="29" x14ac:dyDescent="0.35">
      <c r="A117" s="86"/>
      <c r="B117" s="89"/>
      <c r="C117" s="82" t="s">
        <v>296</v>
      </c>
    </row>
    <row r="118" spans="1:3" x14ac:dyDescent="0.35">
      <c r="A118" s="177" t="s">
        <v>149</v>
      </c>
      <c r="B118" s="174" t="s">
        <v>297</v>
      </c>
      <c r="C118" s="82" t="s">
        <v>298</v>
      </c>
    </row>
    <row r="119" spans="1:3" ht="29" x14ac:dyDescent="0.35">
      <c r="A119" s="178"/>
      <c r="B119" s="175"/>
      <c r="C119" s="82" t="s">
        <v>299</v>
      </c>
    </row>
    <row r="120" spans="1:3" x14ac:dyDescent="0.35">
      <c r="A120" s="178"/>
      <c r="B120" s="175"/>
      <c r="C120" s="82" t="s">
        <v>300</v>
      </c>
    </row>
    <row r="121" spans="1:3" ht="29" x14ac:dyDescent="0.35">
      <c r="A121" s="178"/>
      <c r="B121" s="176"/>
      <c r="C121" s="82" t="s">
        <v>301</v>
      </c>
    </row>
    <row r="122" spans="1:3" ht="43.5" x14ac:dyDescent="0.35">
      <c r="A122" s="178"/>
      <c r="B122" s="174" t="s">
        <v>302</v>
      </c>
      <c r="C122" s="82" t="s">
        <v>303</v>
      </c>
    </row>
    <row r="123" spans="1:3" ht="43.5" x14ac:dyDescent="0.35">
      <c r="A123" s="178"/>
      <c r="B123" s="176"/>
      <c r="C123" s="82" t="s">
        <v>304</v>
      </c>
    </row>
    <row r="124" spans="1:3" ht="29" x14ac:dyDescent="0.35">
      <c r="A124" s="178"/>
      <c r="B124" s="174" t="s">
        <v>305</v>
      </c>
      <c r="C124" s="82" t="s">
        <v>306</v>
      </c>
    </row>
    <row r="125" spans="1:3" ht="29" x14ac:dyDescent="0.35">
      <c r="A125" s="178"/>
      <c r="B125" s="175"/>
      <c r="C125" s="82" t="s">
        <v>307</v>
      </c>
    </row>
    <row r="126" spans="1:3" x14ac:dyDescent="0.35">
      <c r="A126" s="178"/>
      <c r="B126" s="175"/>
      <c r="C126" s="82" t="s">
        <v>300</v>
      </c>
    </row>
    <row r="127" spans="1:3" ht="29" x14ac:dyDescent="0.35">
      <c r="A127" s="178"/>
      <c r="B127" s="176"/>
      <c r="C127" s="82" t="s">
        <v>308</v>
      </c>
    </row>
    <row r="128" spans="1:3" ht="43.5" x14ac:dyDescent="0.35">
      <c r="A128" s="178"/>
      <c r="B128" s="174" t="s">
        <v>309</v>
      </c>
      <c r="C128" s="82" t="s">
        <v>310</v>
      </c>
    </row>
    <row r="129" spans="1:3" ht="29" x14ac:dyDescent="0.35">
      <c r="A129" s="178"/>
      <c r="B129" s="175"/>
      <c r="C129" s="82" t="s">
        <v>311</v>
      </c>
    </row>
    <row r="130" spans="1:3" ht="29" customHeight="1" x14ac:dyDescent="0.35">
      <c r="A130" s="178"/>
      <c r="B130" s="175"/>
      <c r="C130" s="82" t="s">
        <v>312</v>
      </c>
    </row>
    <row r="131" spans="1:3" ht="29" x14ac:dyDescent="0.35">
      <c r="A131" s="178"/>
      <c r="B131" s="176"/>
      <c r="C131" s="82" t="s">
        <v>313</v>
      </c>
    </row>
    <row r="132" spans="1:3" ht="29" x14ac:dyDescent="0.35">
      <c r="A132" s="178"/>
      <c r="B132" s="174" t="s">
        <v>314</v>
      </c>
      <c r="C132" s="82" t="s">
        <v>315</v>
      </c>
    </row>
    <row r="133" spans="1:3" ht="29" x14ac:dyDescent="0.35">
      <c r="A133" s="178"/>
      <c r="B133" s="175"/>
      <c r="C133" s="82" t="s">
        <v>316</v>
      </c>
    </row>
    <row r="134" spans="1:3" ht="29" x14ac:dyDescent="0.35">
      <c r="A134" s="178"/>
      <c r="B134" s="175"/>
      <c r="C134" s="82" t="s">
        <v>317</v>
      </c>
    </row>
    <row r="135" spans="1:3" x14ac:dyDescent="0.35">
      <c r="A135" s="178"/>
      <c r="B135" s="175"/>
      <c r="C135" s="82" t="s">
        <v>318</v>
      </c>
    </row>
    <row r="136" spans="1:3" x14ac:dyDescent="0.35">
      <c r="A136" s="178"/>
      <c r="B136" s="175"/>
      <c r="C136" s="82" t="s">
        <v>319</v>
      </c>
    </row>
    <row r="137" spans="1:3" ht="29" x14ac:dyDescent="0.35">
      <c r="A137" s="179"/>
      <c r="B137" s="176"/>
      <c r="C137" s="82" t="s">
        <v>320</v>
      </c>
    </row>
    <row r="138" spans="1:3" ht="29" x14ac:dyDescent="0.35">
      <c r="A138" s="94" t="s">
        <v>332</v>
      </c>
      <c r="B138" s="87" t="s">
        <v>333</v>
      </c>
      <c r="C138" s="82" t="s">
        <v>231</v>
      </c>
    </row>
    <row r="139" spans="1:3" x14ac:dyDescent="0.35">
      <c r="A139" s="85"/>
      <c r="B139" s="88"/>
      <c r="C139" s="82" t="s">
        <v>226</v>
      </c>
    </row>
    <row r="140" spans="1:3" ht="29" x14ac:dyDescent="0.35">
      <c r="A140" s="85"/>
      <c r="B140" s="88"/>
      <c r="C140" s="82" t="s">
        <v>232</v>
      </c>
    </row>
    <row r="141" spans="1:3" ht="29" x14ac:dyDescent="0.35">
      <c r="A141" s="85"/>
      <c r="B141" s="89"/>
      <c r="C141" s="82" t="s">
        <v>201</v>
      </c>
    </row>
  </sheetData>
  <mergeCells count="8">
    <mergeCell ref="B132:B137"/>
    <mergeCell ref="A118:A137"/>
    <mergeCell ref="B118:B121"/>
    <mergeCell ref="B92:B94"/>
    <mergeCell ref="B95:B97"/>
    <mergeCell ref="B122:B123"/>
    <mergeCell ref="B124:B127"/>
    <mergeCell ref="B128:B13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5BD3D2-CC04-49DB-A6BB-57F6BF4BFFE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Lembar kerja</vt:lpstr>
      </vt:variant>
      <vt:variant>
        <vt:i4>9</vt:i4>
      </vt:variant>
      <vt:variant>
        <vt:lpstr>Rentang Bernama</vt:lpstr>
      </vt:variant>
      <vt:variant>
        <vt:i4>17</vt:i4>
      </vt:variant>
    </vt:vector>
  </HeadingPairs>
  <TitlesOfParts>
    <vt:vector size="26" baseType="lpstr">
      <vt:lpstr>Ringkasan</vt:lpstr>
      <vt:lpstr>Data dan Informasi</vt:lpstr>
      <vt:lpstr>Perangkat Lunak</vt:lpstr>
      <vt:lpstr>Perangkat Keras</vt:lpstr>
      <vt:lpstr>Sarana Pendukung</vt:lpstr>
      <vt:lpstr>SDM &amp; Pihak Ketiga</vt:lpstr>
      <vt:lpstr>Peta Risiko</vt:lpstr>
      <vt:lpstr>List Kategori Risiko Keamanan</vt:lpstr>
      <vt:lpstr>List Ancaman dan Kerentanan</vt:lpstr>
      <vt:lpstr>ImpactRange</vt:lpstr>
      <vt:lpstr>LikelihoodRange</vt:lpstr>
      <vt:lpstr>'Data dan Informasi'!Print_Area</vt:lpstr>
      <vt:lpstr>'Perangkat Keras'!Print_Area</vt:lpstr>
      <vt:lpstr>'Perangkat Lunak'!Print_Area</vt:lpstr>
      <vt:lpstr>'Sarana Pendukung'!Print_Area</vt:lpstr>
      <vt:lpstr>'SDM &amp; Pihak Ketiga'!Print_Area</vt:lpstr>
      <vt:lpstr>'Data dan Informasi'!Print_Titles</vt:lpstr>
      <vt:lpstr>'Perangkat Keras'!Print_Titles</vt:lpstr>
      <vt:lpstr>'Perangkat Lunak'!Print_Titles</vt:lpstr>
      <vt:lpstr>'Sarana Pendukung'!Print_Titles</vt:lpstr>
      <vt:lpstr>'SDM &amp; Pihak Ketiga'!Print_Titles</vt:lpstr>
      <vt:lpstr>RangeDampak</vt:lpstr>
      <vt:lpstr>RangeKemungkinan</vt:lpstr>
      <vt:lpstr>RangeLikelihood</vt:lpstr>
      <vt:lpstr>RiskLevel</vt:lpstr>
      <vt:lpstr>RiskMatrix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Fajar Setio</dc:creator>
  <cp:lastModifiedBy>ayu lhaksmi</cp:lastModifiedBy>
  <cp:revision>4</cp:revision>
  <dcterms:created xsi:type="dcterms:W3CDTF">2023-10-04T00:27:40Z</dcterms:created>
  <dcterms:modified xsi:type="dcterms:W3CDTF">2025-06-12T03:21:17Z</dcterms:modified>
</cp:coreProperties>
</file>